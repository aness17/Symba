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19200" windowHeight="6960" activeTab="1"/>
  </bookViews>
  <sheets>
    <sheet name="LC HO" sheetId="1" r:id="rId1"/>
    <sheet name="NEW CAPEX 2023" sheetId="2" r:id="rId2"/>
  </sheets>
  <externalReferences>
    <externalReference r:id="rId3"/>
  </externalReferences>
  <definedNames>
    <definedName name="_Fill" localSheetId="0" hidden="1">#REF!</definedName>
    <definedName name="_Fill" hidden="1">#REF!</definedName>
    <definedName name="_xlnm._FilterDatabase" localSheetId="0" hidden="1">'LC HO'!$B$4:$AN$18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AS2TickmarkLS" localSheetId="0" hidden="1">#REF!</definedName>
    <definedName name="AS2TickmarkLS" hidden="1">#REF!</definedName>
    <definedName name="breakdown">[1]GL!$A$237:$B$926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5" i="2"/>
  <c r="L29"/>
  <c r="I29"/>
  <c r="J29"/>
  <c r="N25"/>
  <c r="N24"/>
  <c r="N29" s="1"/>
  <c r="N35" s="1"/>
  <c r="L23" l="1"/>
  <c r="L17"/>
  <c r="L11"/>
  <c r="AA18" i="1"/>
  <c r="B18"/>
  <c r="B17"/>
  <c r="U16"/>
  <c r="U17" s="1"/>
  <c r="T16"/>
  <c r="T17" s="1"/>
  <c r="S16"/>
  <c r="S17" s="1"/>
  <c r="R16"/>
  <c r="R17" s="1"/>
  <c r="Q16"/>
  <c r="Q17" s="1"/>
  <c r="B16"/>
  <c r="AO15"/>
  <c r="V15"/>
  <c r="O15"/>
  <c r="B15"/>
  <c r="AO14"/>
  <c r="V14"/>
  <c r="O14"/>
  <c r="O16" s="1"/>
  <c r="O17" s="1"/>
  <c r="B14"/>
  <c r="AO13"/>
  <c r="V13"/>
  <c r="V16" s="1"/>
  <c r="V17" s="1"/>
  <c r="O13"/>
  <c r="B13"/>
  <c r="B12"/>
  <c r="B11"/>
  <c r="AA10"/>
  <c r="B10"/>
  <c r="Z9"/>
  <c r="U9"/>
  <c r="S9"/>
  <c r="Q9"/>
  <c r="B9"/>
  <c r="AD8"/>
  <c r="V8"/>
  <c r="V9" s="1"/>
  <c r="U8"/>
  <c r="T8"/>
  <c r="T9" s="1"/>
  <c r="S8"/>
  <c r="R8"/>
  <c r="R9" s="1"/>
  <c r="Q8"/>
  <c r="B8"/>
  <c r="V7"/>
  <c r="O7"/>
  <c r="Z7" s="1"/>
  <c r="AA7" s="1"/>
  <c r="AO7" s="1"/>
  <c r="K7"/>
  <c r="B7"/>
  <c r="AD6"/>
  <c r="AD9" s="1"/>
  <c r="V6"/>
  <c r="U6"/>
  <c r="T6"/>
  <c r="S6"/>
  <c r="R6"/>
  <c r="Q6"/>
  <c r="O6"/>
  <c r="B6"/>
  <c r="V5"/>
  <c r="O5"/>
  <c r="Z5" s="1"/>
  <c r="AA5" s="1"/>
  <c r="AO5" s="1"/>
  <c r="K5"/>
  <c r="B5"/>
  <c r="O8" l="1"/>
  <c r="O9" s="1"/>
</calcChain>
</file>

<file path=xl/sharedStrings.xml><?xml version="1.0" encoding="utf-8"?>
<sst xmlns="http://schemas.openxmlformats.org/spreadsheetml/2006/main" count="194" uniqueCount="73">
  <si>
    <t>CAPEX BUDGET 2022</t>
  </si>
  <si>
    <t>NEW CAPEX BUDGET 2022</t>
  </si>
  <si>
    <t>Qty</t>
  </si>
  <si>
    <t>Units</t>
  </si>
  <si>
    <t>Unit Cost</t>
  </si>
  <si>
    <t>Total Cost</t>
  </si>
  <si>
    <t>Realization (Amount)</t>
  </si>
  <si>
    <t>OUTSTANDING CAPEX 2022 AS OF AUG'2022</t>
  </si>
  <si>
    <t>CEA</t>
  </si>
  <si>
    <t>PO</t>
  </si>
  <si>
    <t>FA</t>
  </si>
  <si>
    <t>UTILIZATION STATUS (SEP-DEC 2022)</t>
  </si>
  <si>
    <t>Label</t>
  </si>
  <si>
    <t>STATION</t>
  </si>
  <si>
    <t>LOB</t>
  </si>
  <si>
    <t>Category</t>
  </si>
  <si>
    <t>BUDGET CODE</t>
  </si>
  <si>
    <t>ID</t>
  </si>
  <si>
    <t>CAPEX ITEM</t>
  </si>
  <si>
    <t>USAGE</t>
  </si>
  <si>
    <t>(IDR/ USD/ EUR)</t>
  </si>
  <si>
    <t>Amount</t>
  </si>
  <si>
    <t>O/S CEA</t>
  </si>
  <si>
    <t>O/S PO</t>
  </si>
  <si>
    <t>CA&amp;CIP</t>
  </si>
  <si>
    <t>FA List</t>
  </si>
  <si>
    <t>Expense</t>
  </si>
  <si>
    <t>Total Realization</t>
  </si>
  <si>
    <t>Remain Budget</t>
  </si>
  <si>
    <t>No</t>
  </si>
  <si>
    <t>Period</t>
  </si>
  <si>
    <t>Dropped</t>
  </si>
  <si>
    <t>Materialized Sep-Dec'22</t>
  </si>
  <si>
    <t>Carryover to BUDGET 2023</t>
  </si>
  <si>
    <t>Re-Budget</t>
  </si>
  <si>
    <t>Amount Re-Budget</t>
  </si>
  <si>
    <t>REMARKS</t>
  </si>
  <si>
    <t>HO</t>
  </si>
  <si>
    <t>LEARNING CENTER</t>
  </si>
  <si>
    <t>FURNITURE &amp; FIXTURES</t>
  </si>
  <si>
    <t>HO-LC0-001/FFE</t>
  </si>
  <si>
    <t>LCD Projector</t>
  </si>
  <si>
    <t xml:space="preserve">Replacement </t>
  </si>
  <si>
    <t xml:space="preserve"> IDR </t>
  </si>
  <si>
    <t>IDR</t>
  </si>
  <si>
    <t>SUB-TOTAL FFE</t>
  </si>
  <si>
    <t>IT EQUIPMENT &amp; SOFTWARE</t>
  </si>
  <si>
    <t>HO-LC0-005/ITE</t>
  </si>
  <si>
    <t>Personal Computer all in one</t>
  </si>
  <si>
    <t>Replacement</t>
  </si>
  <si>
    <t>SUB-TOTAL ITE</t>
  </si>
  <si>
    <t>SUB-TOTAL LEARNING CENTER</t>
  </si>
  <si>
    <t>CARRY OVER BUDGET 2021</t>
  </si>
  <si>
    <t>CAPEX BUDGET 2023</t>
  </si>
  <si>
    <t>NEW CAPEX BUDGET 2023</t>
  </si>
  <si>
    <t>COST CENTER (DEPT)</t>
  </si>
  <si>
    <t>Unit</t>
  </si>
  <si>
    <t>Date</t>
  </si>
  <si>
    <t>(IDR/  USD/UER)</t>
  </si>
  <si>
    <t>(STATION)</t>
  </si>
  <si>
    <t>(LOB)</t>
  </si>
  <si>
    <t>(DEPT)</t>
  </si>
  <si>
    <t>BUILDING IMPROVEMENT</t>
  </si>
  <si>
    <t>1</t>
  </si>
  <si>
    <t>SUB-TOTAL</t>
  </si>
  <si>
    <t>OPERATING EQUIPMENT</t>
  </si>
  <si>
    <t>COMMUNICATION EQUIPMENT</t>
  </si>
  <si>
    <t>SUB-TOTAL LOB)</t>
  </si>
  <si>
    <t>Sub-Total  (STATION)</t>
  </si>
  <si>
    <t>Billboard JAS Academy</t>
  </si>
  <si>
    <t>Jan</t>
  </si>
  <si>
    <t>Camera SLR</t>
  </si>
  <si>
    <t>Feb</t>
  </si>
</sst>
</file>

<file path=xl/styles.xml><?xml version="1.0" encoding="utf-8"?>
<styleSheet xmlns="http://schemas.openxmlformats.org/spreadsheetml/2006/main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mmm\-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ho Gothic Pro"/>
      <family val="2"/>
    </font>
    <font>
      <b/>
      <sz val="14"/>
      <color rgb="FF0000FF"/>
      <name val="Soho Gothic Pro"/>
      <family val="2"/>
    </font>
    <font>
      <b/>
      <sz val="10"/>
      <name val="Soho Gothic Pro"/>
      <family val="2"/>
    </font>
    <font>
      <sz val="10"/>
      <name val="Soho Gothic Pro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2"/>
      <color rgb="FF0000FF"/>
      <name val="Soho Gothic Pro"/>
      <family val="2"/>
    </font>
    <font>
      <b/>
      <sz val="10"/>
      <color theme="0" tint="-0.499984740745262"/>
      <name val="Soho Gothic Pro"/>
      <family val="2"/>
    </font>
    <font>
      <b/>
      <sz val="11"/>
      <color rgb="FF0000FF"/>
      <name val="Arial"/>
      <family val="2"/>
    </font>
    <font>
      <b/>
      <sz val="10"/>
      <color theme="0"/>
      <name val="Soho Gothic Pro"/>
      <family val="2"/>
    </font>
    <font>
      <sz val="10"/>
      <color theme="0" tint="-0.249977111117893"/>
      <name val="Soho Gothic Pro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7" fillId="0" borderId="0"/>
  </cellStyleXfs>
  <cellXfs count="255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right" vertical="center"/>
    </xf>
    <xf numFmtId="166" fontId="5" fillId="0" borderId="0" xfId="1" applyNumberFormat="1" applyFont="1" applyFill="1" applyBorder="1" applyAlignment="1">
      <alignment horizontal="center" vertical="center"/>
    </xf>
    <xf numFmtId="166" fontId="6" fillId="0" borderId="0" xfId="1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1" applyNumberFormat="1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/>
    </xf>
    <xf numFmtId="167" fontId="6" fillId="0" borderId="0" xfId="2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6" fontId="4" fillId="0" borderId="0" xfId="1" applyNumberFormat="1" applyFont="1" applyFill="1" applyBorder="1" applyAlignment="1">
      <alignment horizontal="center" vertical="center"/>
    </xf>
    <xf numFmtId="166" fontId="8" fillId="3" borderId="1" xfId="1" applyNumberFormat="1" applyFont="1" applyFill="1" applyBorder="1" applyAlignment="1">
      <alignment horizontal="center" vertical="center"/>
    </xf>
    <xf numFmtId="167" fontId="8" fillId="3" borderId="1" xfId="1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/>
    </xf>
    <xf numFmtId="166" fontId="8" fillId="0" borderId="0" xfId="1" applyNumberFormat="1" applyFont="1" applyFill="1" applyBorder="1" applyAlignment="1">
      <alignment vertical="center"/>
    </xf>
    <xf numFmtId="166" fontId="11" fillId="3" borderId="1" xfId="1" applyNumberFormat="1" applyFont="1" applyFill="1" applyBorder="1" applyAlignment="1">
      <alignment horizontal="center" vertical="center"/>
    </xf>
    <xf numFmtId="166" fontId="8" fillId="3" borderId="5" xfId="1" applyNumberFormat="1" applyFont="1" applyFill="1" applyBorder="1" applyAlignment="1">
      <alignment vertical="center"/>
    </xf>
    <xf numFmtId="0" fontId="8" fillId="3" borderId="1" xfId="1" applyNumberFormat="1" applyFont="1" applyFill="1" applyBorder="1" applyAlignment="1">
      <alignment horizontal="center" vertical="center"/>
    </xf>
    <xf numFmtId="166" fontId="8" fillId="3" borderId="1" xfId="1" applyNumberFormat="1" applyFont="1" applyFill="1" applyBorder="1" applyAlignment="1">
      <alignment horizontal="left" vertical="center"/>
    </xf>
    <xf numFmtId="166" fontId="4" fillId="3" borderId="4" xfId="1" applyNumberFormat="1" applyFont="1" applyFill="1" applyBorder="1" applyAlignment="1">
      <alignment horizontal="center" vertical="center"/>
    </xf>
    <xf numFmtId="166" fontId="12" fillId="4" borderId="1" xfId="1" applyNumberFormat="1" applyFont="1" applyFill="1" applyBorder="1" applyAlignment="1">
      <alignment horizontal="center" vertical="center"/>
    </xf>
    <xf numFmtId="167" fontId="8" fillId="3" borderId="1" xfId="2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5" fillId="0" borderId="7" xfId="0" quotePrefix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vertical="center" wrapText="1"/>
    </xf>
    <xf numFmtId="0" fontId="5" fillId="0" borderId="7" xfId="0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center" vertical="center"/>
    </xf>
    <xf numFmtId="166" fontId="5" fillId="0" borderId="7" xfId="1" applyNumberFormat="1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right" vertical="center"/>
    </xf>
    <xf numFmtId="166" fontId="5" fillId="0" borderId="8" xfId="1" applyNumberFormat="1" applyFont="1" applyFill="1" applyBorder="1" applyAlignment="1">
      <alignment vertical="center"/>
    </xf>
    <xf numFmtId="166" fontId="5" fillId="0" borderId="7" xfId="1" applyNumberFormat="1" applyFont="1" applyFill="1" applyBorder="1" applyAlignment="1">
      <alignment vertical="center"/>
    </xf>
    <xf numFmtId="166" fontId="5" fillId="0" borderId="0" xfId="0" applyNumberFormat="1" applyFont="1" applyFill="1" applyBorder="1" applyAlignment="1">
      <alignment vertical="center"/>
    </xf>
    <xf numFmtId="0" fontId="5" fillId="0" borderId="7" xfId="0" applyFont="1" applyFill="1" applyBorder="1" applyAlignment="1">
      <alignment horizontal="left" vertical="center"/>
    </xf>
    <xf numFmtId="166" fontId="5" fillId="0" borderId="7" xfId="0" applyNumberFormat="1" applyFont="1" applyFill="1" applyBorder="1" applyAlignment="1">
      <alignment vertical="center"/>
    </xf>
    <xf numFmtId="166" fontId="5" fillId="0" borderId="8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4" fillId="5" borderId="2" xfId="0" quotePrefix="1" applyFont="1" applyFill="1" applyBorder="1" applyAlignment="1">
      <alignment horizontal="left" vertical="center"/>
    </xf>
    <xf numFmtId="0" fontId="4" fillId="5" borderId="3" xfId="0" quotePrefix="1" applyFont="1" applyFill="1" applyBorder="1" applyAlignment="1">
      <alignment horizontal="left" vertical="center"/>
    </xf>
    <xf numFmtId="0" fontId="4" fillId="5" borderId="3" xfId="0" quotePrefix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 wrapText="1"/>
    </xf>
    <xf numFmtId="0" fontId="4" fillId="5" borderId="3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6" fontId="4" fillId="5" borderId="3" xfId="1" applyNumberFormat="1" applyFont="1" applyFill="1" applyBorder="1" applyAlignment="1">
      <alignment horizontal="center" vertical="center"/>
    </xf>
    <xf numFmtId="166" fontId="4" fillId="5" borderId="3" xfId="1" applyNumberFormat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vertical="center"/>
    </xf>
    <xf numFmtId="166" fontId="4" fillId="5" borderId="3" xfId="1" applyNumberFormat="1" applyFont="1" applyFill="1" applyBorder="1" applyAlignment="1">
      <alignment vertical="center"/>
    </xf>
    <xf numFmtId="166" fontId="4" fillId="0" borderId="0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166" fontId="4" fillId="5" borderId="3" xfId="0" applyNumberFormat="1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166" fontId="4" fillId="5" borderId="4" xfId="1" applyNumberFormat="1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left" vertical="center"/>
    </xf>
    <xf numFmtId="0" fontId="4" fillId="5" borderId="10" xfId="0" quotePrefix="1" applyFont="1" applyFill="1" applyBorder="1" applyAlignment="1">
      <alignment horizontal="left" vertical="center"/>
    </xf>
    <xf numFmtId="0" fontId="4" fillId="5" borderId="11" xfId="0" quotePrefix="1" applyFont="1" applyFill="1" applyBorder="1" applyAlignment="1">
      <alignment horizontal="left" vertical="center"/>
    </xf>
    <xf numFmtId="0" fontId="4" fillId="5" borderId="11" xfId="0" quotePrefix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vertical="center" wrapText="1"/>
    </xf>
    <xf numFmtId="0" fontId="4" fillId="5" borderId="11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66" fontId="4" fillId="5" borderId="11" xfId="1" applyNumberFormat="1" applyFont="1" applyFill="1" applyBorder="1" applyAlignment="1">
      <alignment horizontal="center" vertical="center"/>
    </xf>
    <xf numFmtId="166" fontId="4" fillId="5" borderId="11" xfId="1" applyNumberFormat="1" applyFont="1" applyFill="1" applyBorder="1" applyAlignment="1">
      <alignment horizontal="right" vertical="center"/>
    </xf>
    <xf numFmtId="166" fontId="4" fillId="5" borderId="11" xfId="1" applyNumberFormat="1" applyFont="1" applyFill="1" applyBorder="1" applyAlignment="1">
      <alignment vertical="center"/>
    </xf>
    <xf numFmtId="0" fontId="4" fillId="5" borderId="11" xfId="0" applyFont="1" applyFill="1" applyBorder="1" applyAlignment="1">
      <alignment horizontal="left" vertical="center"/>
    </xf>
    <xf numFmtId="166" fontId="4" fillId="5" borderId="11" xfId="0" applyNumberFormat="1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166" fontId="4" fillId="5" borderId="12" xfId="1" applyNumberFormat="1" applyFont="1" applyFill="1" applyBorder="1" applyAlignment="1">
      <alignment horizontal="right" vertical="center"/>
    </xf>
    <xf numFmtId="0" fontId="12" fillId="6" borderId="2" xfId="0" applyFont="1" applyFill="1" applyBorder="1" applyAlignment="1">
      <alignment vertical="center"/>
    </xf>
    <xf numFmtId="0" fontId="12" fillId="6" borderId="11" xfId="0" applyFont="1" applyFill="1" applyBorder="1" applyAlignment="1">
      <alignment vertical="center"/>
    </xf>
    <xf numFmtId="0" fontId="12" fillId="6" borderId="11" xfId="0" quotePrefix="1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vertical="center" wrapText="1"/>
    </xf>
    <xf numFmtId="0" fontId="12" fillId="6" borderId="11" xfId="0" applyNumberFormat="1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166" fontId="12" fillId="6" borderId="11" xfId="1" applyNumberFormat="1" applyFont="1" applyFill="1" applyBorder="1" applyAlignment="1">
      <alignment horizontal="center" vertical="center"/>
    </xf>
    <xf numFmtId="166" fontId="12" fillId="6" borderId="11" xfId="1" applyNumberFormat="1" applyFont="1" applyFill="1" applyBorder="1" applyAlignment="1">
      <alignment horizontal="right" vertical="center"/>
    </xf>
    <xf numFmtId="166" fontId="12" fillId="0" borderId="0" xfId="1" applyNumberFormat="1" applyFont="1" applyFill="1" applyBorder="1" applyAlignment="1">
      <alignment vertical="center"/>
    </xf>
    <xf numFmtId="166" fontId="12" fillId="6" borderId="11" xfId="1" applyNumberFormat="1" applyFont="1" applyFill="1" applyBorder="1" applyAlignment="1">
      <alignment vertical="center"/>
    </xf>
    <xf numFmtId="166" fontId="12" fillId="0" borderId="0" xfId="0" applyNumberFormat="1" applyFont="1" applyFill="1" applyBorder="1" applyAlignment="1">
      <alignment vertical="center"/>
    </xf>
    <xf numFmtId="0" fontId="12" fillId="6" borderId="11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166" fontId="12" fillId="6" borderId="12" xfId="1" applyNumberFormat="1" applyFont="1" applyFill="1" applyBorder="1" applyAlignment="1">
      <alignment horizontal="right" vertical="center"/>
    </xf>
    <xf numFmtId="0" fontId="1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166" fontId="5" fillId="0" borderId="0" xfId="1" applyNumberFormat="1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166" fontId="4" fillId="0" borderId="6" xfId="1" applyNumberFormat="1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166" fontId="4" fillId="3" borderId="2" xfId="1" applyNumberFormat="1" applyFont="1" applyFill="1" applyBorder="1" applyAlignment="1">
      <alignment horizontal="center" vertical="center"/>
    </xf>
    <xf numFmtId="166" fontId="8" fillId="3" borderId="1" xfId="1" applyNumberFormat="1" applyFont="1" applyFill="1" applyBorder="1" applyAlignment="1">
      <alignment vertical="center"/>
    </xf>
    <xf numFmtId="0" fontId="5" fillId="0" borderId="7" xfId="0" applyFont="1" applyFill="1" applyBorder="1" applyAlignment="1">
      <alignment horizontal="left" vertical="center" wrapText="1"/>
    </xf>
    <xf numFmtId="17" fontId="5" fillId="0" borderId="7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166" fontId="4" fillId="5" borderId="10" xfId="1" applyNumberFormat="1" applyFont="1" applyFill="1" applyBorder="1" applyAlignment="1">
      <alignment vertical="center"/>
    </xf>
    <xf numFmtId="0" fontId="4" fillId="5" borderId="12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vertical="center"/>
    </xf>
    <xf numFmtId="0" fontId="12" fillId="6" borderId="3" xfId="0" quotePrefix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vertical="center" wrapText="1"/>
    </xf>
    <xf numFmtId="0" fontId="12" fillId="6" borderId="3" xfId="0" applyNumberFormat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166" fontId="12" fillId="6" borderId="3" xfId="1" applyNumberFormat="1" applyFont="1" applyFill="1" applyBorder="1" applyAlignment="1">
      <alignment horizontal="right" vertical="center"/>
    </xf>
    <xf numFmtId="166" fontId="12" fillId="6" borderId="3" xfId="1" applyNumberFormat="1" applyFont="1" applyFill="1" applyBorder="1" applyAlignment="1">
      <alignment horizontal="center" vertical="center"/>
    </xf>
    <xf numFmtId="166" fontId="12" fillId="6" borderId="3" xfId="1" applyNumberFormat="1" applyFont="1" applyFill="1" applyBorder="1" applyAlignment="1">
      <alignment vertical="center"/>
    </xf>
    <xf numFmtId="166" fontId="12" fillId="6" borderId="2" xfId="1" applyNumberFormat="1" applyFont="1" applyFill="1" applyBorder="1" applyAlignment="1">
      <alignment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166" fontId="12" fillId="6" borderId="3" xfId="0" applyNumberFormat="1" applyFont="1" applyFill="1" applyBorder="1" applyAlignment="1">
      <alignment vertical="center"/>
    </xf>
    <xf numFmtId="166" fontId="12" fillId="6" borderId="4" xfId="1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top"/>
    </xf>
    <xf numFmtId="0" fontId="16" fillId="0" borderId="14" xfId="0" applyFont="1" applyFill="1" applyBorder="1" applyAlignment="1">
      <alignment vertical="top" wrapText="1"/>
    </xf>
    <xf numFmtId="0" fontId="16" fillId="0" borderId="14" xfId="0" applyFont="1" applyFill="1" applyBorder="1" applyAlignment="1">
      <alignment horizontal="center" vertical="top" wrapText="1"/>
    </xf>
    <xf numFmtId="0" fontId="16" fillId="0" borderId="14" xfId="0" applyFont="1" applyFill="1" applyBorder="1" applyAlignment="1">
      <alignment vertical="top"/>
    </xf>
    <xf numFmtId="0" fontId="16" fillId="0" borderId="14" xfId="0" applyFont="1" applyFill="1" applyBorder="1" applyAlignment="1">
      <alignment horizontal="center" vertical="top"/>
    </xf>
    <xf numFmtId="0" fontId="16" fillId="0" borderId="14" xfId="0" applyFont="1" applyFill="1" applyBorder="1" applyAlignment="1">
      <alignment horizontal="left" vertical="top" wrapText="1"/>
    </xf>
    <xf numFmtId="0" fontId="16" fillId="0" borderId="14" xfId="0" applyFont="1" applyFill="1" applyBorder="1" applyAlignment="1">
      <alignment horizontal="right" vertical="top"/>
    </xf>
    <xf numFmtId="166" fontId="16" fillId="0" borderId="14" xfId="1" applyNumberFormat="1" applyFont="1" applyFill="1" applyBorder="1" applyAlignment="1">
      <alignment horizontal="right" vertical="top"/>
    </xf>
    <xf numFmtId="167" fontId="16" fillId="0" borderId="14" xfId="0" applyNumberFormat="1" applyFont="1" applyFill="1" applyBorder="1" applyAlignment="1">
      <alignment horizontal="right" vertical="top"/>
    </xf>
    <xf numFmtId="0" fontId="16" fillId="0" borderId="0" xfId="0" applyFont="1" applyFill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vertical="top" wrapText="1"/>
    </xf>
    <xf numFmtId="0" fontId="16" fillId="0" borderId="0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vertical="top"/>
    </xf>
    <xf numFmtId="0" fontId="16" fillId="0" borderId="0" xfId="0" applyFont="1" applyFill="1" applyBorder="1" applyAlignment="1">
      <alignment horizontal="center" vertical="top"/>
    </xf>
    <xf numFmtId="0" fontId="16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right" vertical="top"/>
    </xf>
    <xf numFmtId="166" fontId="16" fillId="0" borderId="0" xfId="1" applyNumberFormat="1" applyFont="1" applyFill="1" applyBorder="1" applyAlignment="1">
      <alignment horizontal="right" vertical="top"/>
    </xf>
    <xf numFmtId="167" fontId="16" fillId="0" borderId="0" xfId="0" applyNumberFormat="1" applyFont="1" applyFill="1" applyBorder="1" applyAlignment="1">
      <alignment horizontal="right" vertical="top"/>
    </xf>
    <xf numFmtId="0" fontId="16" fillId="7" borderId="11" xfId="0" applyFont="1" applyFill="1" applyBorder="1" applyAlignment="1">
      <alignment horizontal="left" vertical="top"/>
    </xf>
    <xf numFmtId="0" fontId="16" fillId="7" borderId="11" xfId="0" applyFont="1" applyFill="1" applyBorder="1" applyAlignment="1">
      <alignment vertical="top" wrapText="1"/>
    </xf>
    <xf numFmtId="0" fontId="16" fillId="7" borderId="11" xfId="0" applyFont="1" applyFill="1" applyBorder="1" applyAlignment="1">
      <alignment horizontal="center" vertical="top" wrapText="1"/>
    </xf>
    <xf numFmtId="0" fontId="16" fillId="7" borderId="11" xfId="0" applyFont="1" applyFill="1" applyBorder="1" applyAlignment="1">
      <alignment vertical="top"/>
    </xf>
    <xf numFmtId="0" fontId="16" fillId="7" borderId="10" xfId="0" applyFont="1" applyFill="1" applyBorder="1" applyAlignment="1">
      <alignment horizontal="left" vertical="top"/>
    </xf>
    <xf numFmtId="0" fontId="16" fillId="7" borderId="11" xfId="0" applyFont="1" applyFill="1" applyBorder="1" applyAlignment="1">
      <alignment horizontal="left" vertical="top" wrapText="1"/>
    </xf>
    <xf numFmtId="0" fontId="16" fillId="7" borderId="5" xfId="0" applyFont="1" applyFill="1" applyBorder="1" applyAlignment="1">
      <alignment horizontal="center" vertical="top"/>
    </xf>
    <xf numFmtId="166" fontId="16" fillId="7" borderId="3" xfId="1" applyNumberFormat="1" applyFont="1" applyFill="1" applyBorder="1" applyAlignment="1">
      <alignment horizontal="center" vertical="top"/>
    </xf>
    <xf numFmtId="167" fontId="16" fillId="7" borderId="10" xfId="0" applyNumberFormat="1" applyFont="1" applyFill="1" applyBorder="1" applyAlignment="1">
      <alignment horizontal="right" vertical="top"/>
    </xf>
    <xf numFmtId="0" fontId="16" fillId="0" borderId="0" xfId="0" applyFont="1" applyAlignment="1">
      <alignment horizontal="left" vertical="top"/>
    </xf>
    <xf numFmtId="0" fontId="16" fillId="7" borderId="14" xfId="0" applyFont="1" applyFill="1" applyBorder="1" applyAlignment="1">
      <alignment horizontal="left" vertical="top"/>
    </xf>
    <xf numFmtId="0" fontId="16" fillId="7" borderId="14" xfId="0" applyFont="1" applyFill="1" applyBorder="1" applyAlignment="1">
      <alignment vertical="top" wrapText="1"/>
    </xf>
    <xf numFmtId="0" fontId="16" fillId="7" borderId="14" xfId="0" applyFont="1" applyFill="1" applyBorder="1" applyAlignment="1">
      <alignment horizontal="center" vertical="top" wrapText="1"/>
    </xf>
    <xf numFmtId="0" fontId="16" fillId="7" borderId="14" xfId="0" applyFont="1" applyFill="1" applyBorder="1" applyAlignment="1">
      <alignment vertical="top"/>
    </xf>
    <xf numFmtId="0" fontId="16" fillId="7" borderId="15" xfId="0" applyFont="1" applyFill="1" applyBorder="1" applyAlignment="1">
      <alignment horizontal="center" vertical="top"/>
    </xf>
    <xf numFmtId="0" fontId="16" fillId="7" borderId="14" xfId="0" applyFont="1" applyFill="1" applyBorder="1" applyAlignment="1">
      <alignment horizontal="left" vertical="top" wrapText="1"/>
    </xf>
    <xf numFmtId="0" fontId="16" fillId="7" borderId="16" xfId="0" applyFont="1" applyFill="1" applyBorder="1" applyAlignment="1">
      <alignment horizontal="right" vertical="top"/>
    </xf>
    <xf numFmtId="0" fontId="16" fillId="7" borderId="15" xfId="0" applyFont="1" applyFill="1" applyBorder="1" applyAlignment="1">
      <alignment horizontal="right" vertical="top" wrapText="1"/>
    </xf>
    <xf numFmtId="166" fontId="16" fillId="7" borderId="14" xfId="1" applyNumberFormat="1" applyFont="1" applyFill="1" applyBorder="1" applyAlignment="1">
      <alignment horizontal="right" vertical="top"/>
    </xf>
    <xf numFmtId="0" fontId="16" fillId="7" borderId="17" xfId="0" applyFont="1" applyFill="1" applyBorder="1" applyAlignment="1">
      <alignment horizontal="right" vertical="top" wrapText="1"/>
    </xf>
    <xf numFmtId="166" fontId="16" fillId="7" borderId="18" xfId="1" applyNumberFormat="1" applyFont="1" applyFill="1" applyBorder="1" applyAlignment="1">
      <alignment horizontal="right" vertical="top"/>
    </xf>
    <xf numFmtId="167" fontId="16" fillId="7" borderId="15" xfId="0" applyNumberFormat="1" applyFont="1" applyFill="1" applyBorder="1" applyAlignment="1">
      <alignment horizontal="righ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0" fillId="0" borderId="19" xfId="0" quotePrefix="1" applyBorder="1" applyAlignment="1">
      <alignment horizontal="center" vertical="top"/>
    </xf>
    <xf numFmtId="0" fontId="0" fillId="0" borderId="20" xfId="0" applyBorder="1" applyAlignment="1">
      <alignment vertical="top"/>
    </xf>
    <xf numFmtId="0" fontId="0" fillId="0" borderId="21" xfId="0" applyFill="1" applyBorder="1" applyAlignment="1">
      <alignment horizontal="right" vertical="top"/>
    </xf>
    <xf numFmtId="0" fontId="0" fillId="0" borderId="21" xfId="0" applyBorder="1" applyAlignment="1">
      <alignment horizontal="right" vertical="top"/>
    </xf>
    <xf numFmtId="166" fontId="1" fillId="0" borderId="19" xfId="1" applyNumberFormat="1" applyFont="1" applyBorder="1" applyAlignment="1">
      <alignment horizontal="right" vertical="top"/>
    </xf>
    <xf numFmtId="166" fontId="1" fillId="0" borderId="20" xfId="1" applyNumberFormat="1" applyFont="1" applyBorder="1" applyAlignment="1">
      <alignment horizontal="right" vertical="top"/>
    </xf>
    <xf numFmtId="166" fontId="1" fillId="0" borderId="22" xfId="1" applyNumberFormat="1" applyFont="1" applyBorder="1" applyAlignment="1">
      <alignment horizontal="right" vertical="top"/>
    </xf>
    <xf numFmtId="167" fontId="0" fillId="0" borderId="19" xfId="0" applyNumberFormat="1" applyBorder="1" applyAlignment="1">
      <alignment horizontal="right" vertical="top"/>
    </xf>
    <xf numFmtId="0" fontId="0" fillId="0" borderId="0" xfId="0" applyAlignment="1">
      <alignment vertical="top"/>
    </xf>
    <xf numFmtId="0" fontId="0" fillId="0" borderId="2" xfId="0" quotePrefix="1" applyBorder="1" applyAlignment="1">
      <alignment horizontal="center" vertical="top"/>
    </xf>
    <xf numFmtId="0" fontId="0" fillId="0" borderId="3" xfId="0" applyFill="1" applyBorder="1" applyAlignment="1">
      <alignment vertical="top"/>
    </xf>
    <xf numFmtId="0" fontId="0" fillId="0" borderId="4" xfId="0" applyFill="1" applyBorder="1" applyAlignment="1">
      <alignment vertical="top"/>
    </xf>
    <xf numFmtId="0" fontId="0" fillId="0" borderId="1" xfId="0" applyFill="1" applyBorder="1" applyAlignment="1">
      <alignment horizontal="right" vertical="top"/>
    </xf>
    <xf numFmtId="166" fontId="1" fillId="0" borderId="2" xfId="1" applyNumberFormat="1" applyFont="1" applyFill="1" applyBorder="1" applyAlignment="1">
      <alignment horizontal="right" vertical="top"/>
    </xf>
    <xf numFmtId="166" fontId="1" fillId="0" borderId="3" xfId="1" applyNumberFormat="1" applyFont="1" applyBorder="1" applyAlignment="1">
      <alignment horizontal="right" vertical="top"/>
    </xf>
    <xf numFmtId="166" fontId="1" fillId="0" borderId="2" xfId="1" applyNumberFormat="1" applyFont="1" applyBorder="1" applyAlignment="1">
      <alignment horizontal="right" vertical="top"/>
    </xf>
    <xf numFmtId="166" fontId="1" fillId="0" borderId="4" xfId="1" applyNumberFormat="1" applyFon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0" fontId="17" fillId="0" borderId="3" xfId="0" applyFont="1" applyFill="1" applyBorder="1" applyAlignment="1">
      <alignment horizontal="left" wrapText="1"/>
    </xf>
    <xf numFmtId="0" fontId="0" fillId="0" borderId="3" xfId="0" applyBorder="1" applyAlignment="1">
      <alignment vertical="top"/>
    </xf>
    <xf numFmtId="0" fontId="0" fillId="8" borderId="2" xfId="0" quotePrefix="1" applyFill="1" applyBorder="1" applyAlignment="1">
      <alignment horizontal="center" vertical="top"/>
    </xf>
    <xf numFmtId="0" fontId="17" fillId="8" borderId="3" xfId="0" applyFont="1" applyFill="1" applyBorder="1"/>
    <xf numFmtId="0" fontId="0" fillId="8" borderId="3" xfId="0" applyFill="1" applyBorder="1" applyAlignment="1">
      <alignment vertical="top"/>
    </xf>
    <xf numFmtId="0" fontId="0" fillId="8" borderId="1" xfId="0" applyFill="1" applyBorder="1" applyAlignment="1">
      <alignment horizontal="right" vertical="top"/>
    </xf>
    <xf numFmtId="166" fontId="1" fillId="8" borderId="2" xfId="1" applyNumberFormat="1" applyFont="1" applyFill="1" applyBorder="1" applyAlignment="1">
      <alignment horizontal="right" vertical="top"/>
    </xf>
    <xf numFmtId="166" fontId="1" fillId="8" borderId="3" xfId="1" applyNumberFormat="1" applyFont="1" applyFill="1" applyBorder="1" applyAlignment="1">
      <alignment horizontal="right" vertical="top"/>
    </xf>
    <xf numFmtId="166" fontId="1" fillId="8" borderId="4" xfId="1" applyNumberFormat="1" applyFont="1" applyFill="1" applyBorder="1" applyAlignment="1">
      <alignment horizontal="right" vertical="top"/>
    </xf>
    <xf numFmtId="167" fontId="0" fillId="8" borderId="2" xfId="0" applyNumberForma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0" xfId="0" quotePrefix="1" applyBorder="1" applyAlignment="1">
      <alignment horizontal="center" vertical="top"/>
    </xf>
    <xf numFmtId="0" fontId="17" fillId="0" borderId="11" xfId="0" applyFont="1" applyFill="1" applyBorder="1" applyAlignment="1">
      <alignment horizontal="left" wrapText="1"/>
    </xf>
    <xf numFmtId="0" fontId="0" fillId="0" borderId="5" xfId="0" applyFill="1" applyBorder="1" applyAlignment="1">
      <alignment horizontal="right" vertical="top"/>
    </xf>
    <xf numFmtId="166" fontId="1" fillId="0" borderId="10" xfId="1" applyNumberFormat="1" applyFont="1" applyFill="1" applyBorder="1" applyAlignment="1">
      <alignment horizontal="right" vertical="top"/>
    </xf>
    <xf numFmtId="166" fontId="1" fillId="0" borderId="12" xfId="1" applyNumberFormat="1" applyFont="1" applyBorder="1" applyAlignment="1">
      <alignment horizontal="right" vertical="top"/>
    </xf>
    <xf numFmtId="166" fontId="1" fillId="0" borderId="10" xfId="1" applyNumberFormat="1" applyFont="1" applyBorder="1" applyAlignment="1">
      <alignment horizontal="right" vertical="top"/>
    </xf>
    <xf numFmtId="167" fontId="0" fillId="0" borderId="10" xfId="0" applyNumberFormat="1" applyBorder="1" applyAlignment="1">
      <alignment horizontal="right" vertical="top"/>
    </xf>
    <xf numFmtId="0" fontId="0" fillId="9" borderId="3" xfId="0" applyFill="1" applyBorder="1" applyAlignment="1">
      <alignment vertical="top"/>
    </xf>
    <xf numFmtId="0" fontId="0" fillId="9" borderId="3" xfId="0" applyFill="1" applyBorder="1" applyAlignment="1">
      <alignment horizontal="center" vertical="top"/>
    </xf>
    <xf numFmtId="0" fontId="0" fillId="9" borderId="2" xfId="0" quotePrefix="1" applyFill="1" applyBorder="1" applyAlignment="1">
      <alignment horizontal="center" vertical="top"/>
    </xf>
    <xf numFmtId="0" fontId="17" fillId="9" borderId="3" xfId="0" applyFont="1" applyFill="1" applyBorder="1"/>
    <xf numFmtId="0" fontId="0" fillId="9" borderId="1" xfId="0" applyFill="1" applyBorder="1" applyAlignment="1">
      <alignment horizontal="right" vertical="top"/>
    </xf>
    <xf numFmtId="166" fontId="1" fillId="9" borderId="2" xfId="1" applyNumberFormat="1" applyFont="1" applyFill="1" applyBorder="1" applyAlignment="1">
      <alignment horizontal="right" vertical="top"/>
    </xf>
    <xf numFmtId="166" fontId="1" fillId="9" borderId="3" xfId="1" applyNumberFormat="1" applyFont="1" applyFill="1" applyBorder="1" applyAlignment="1">
      <alignment horizontal="right" vertical="top"/>
    </xf>
    <xf numFmtId="166" fontId="1" fillId="9" borderId="4" xfId="1" applyNumberFormat="1" applyFont="1" applyFill="1" applyBorder="1" applyAlignment="1">
      <alignment horizontal="right" vertical="top"/>
    </xf>
    <xf numFmtId="167" fontId="0" fillId="9" borderId="2" xfId="0" applyNumberFormat="1" applyFill="1" applyBorder="1" applyAlignment="1">
      <alignment horizontal="right" vertical="top"/>
    </xf>
    <xf numFmtId="0" fontId="16" fillId="7" borderId="3" xfId="0" applyFont="1" applyFill="1" applyBorder="1" applyAlignment="1">
      <alignment horizontal="left" vertical="top"/>
    </xf>
    <xf numFmtId="0" fontId="16" fillId="7" borderId="3" xfId="0" applyFont="1" applyFill="1" applyBorder="1" applyAlignment="1">
      <alignment vertical="top" wrapText="1"/>
    </xf>
    <xf numFmtId="0" fontId="16" fillId="7" borderId="3" xfId="0" applyFont="1" applyFill="1" applyBorder="1" applyAlignment="1">
      <alignment horizontal="center" vertical="top" wrapText="1"/>
    </xf>
    <xf numFmtId="0" fontId="16" fillId="7" borderId="3" xfId="0" applyFont="1" applyFill="1" applyBorder="1" applyAlignment="1">
      <alignment vertical="top"/>
    </xf>
    <xf numFmtId="0" fontId="16" fillId="7" borderId="2" xfId="0" applyFont="1" applyFill="1" applyBorder="1" applyAlignment="1">
      <alignment horizontal="center" vertical="top"/>
    </xf>
    <xf numFmtId="0" fontId="16" fillId="7" borderId="1" xfId="0" applyFont="1" applyFill="1" applyBorder="1" applyAlignment="1">
      <alignment horizontal="right" vertical="top"/>
    </xf>
    <xf numFmtId="0" fontId="16" fillId="7" borderId="2" xfId="0" applyFont="1" applyFill="1" applyBorder="1" applyAlignment="1">
      <alignment horizontal="right" vertical="top"/>
    </xf>
    <xf numFmtId="166" fontId="16" fillId="7" borderId="3" xfId="1" applyNumberFormat="1" applyFont="1" applyFill="1" applyBorder="1" applyAlignment="1">
      <alignment horizontal="right" vertical="top"/>
    </xf>
    <xf numFmtId="166" fontId="16" fillId="7" borderId="2" xfId="1" applyNumberFormat="1" applyFont="1" applyFill="1" applyBorder="1" applyAlignment="1">
      <alignment horizontal="right" vertical="top"/>
    </xf>
    <xf numFmtId="166" fontId="16" fillId="7" borderId="4" xfId="1" applyNumberFormat="1" applyFont="1" applyFill="1" applyBorder="1" applyAlignment="1">
      <alignment horizontal="right" vertical="top"/>
    </xf>
    <xf numFmtId="167" fontId="16" fillId="7" borderId="2" xfId="0" applyNumberFormat="1" applyFont="1" applyFill="1" applyBorder="1" applyAlignment="1">
      <alignment horizontal="right" vertical="top"/>
    </xf>
    <xf numFmtId="0" fontId="16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166" fontId="1" fillId="0" borderId="0" xfId="1" applyNumberFormat="1" applyFon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6" fontId="4" fillId="3" borderId="1" xfId="1" applyNumberFormat="1" applyFont="1" applyFill="1" applyBorder="1" applyAlignment="1">
      <alignment horizontal="center" vertical="center"/>
    </xf>
    <xf numFmtId="166" fontId="8" fillId="3" borderId="1" xfId="1" applyNumberFormat="1" applyFont="1" applyFill="1" applyBorder="1" applyAlignment="1">
      <alignment horizontal="center" vertical="center"/>
    </xf>
    <xf numFmtId="166" fontId="4" fillId="3" borderId="3" xfId="1" applyNumberFormat="1" applyFont="1" applyFill="1" applyBorder="1" applyAlignment="1">
      <alignment horizontal="center" vertical="center"/>
    </xf>
    <xf numFmtId="166" fontId="4" fillId="3" borderId="4" xfId="1" applyNumberFormat="1" applyFont="1" applyFill="1" applyBorder="1" applyAlignment="1">
      <alignment horizontal="center" vertical="center"/>
    </xf>
    <xf numFmtId="166" fontId="4" fillId="3" borderId="2" xfId="1" applyNumberFormat="1" applyFont="1" applyFill="1" applyBorder="1" applyAlignment="1">
      <alignment horizontal="center" vertical="center"/>
    </xf>
    <xf numFmtId="166" fontId="9" fillId="3" borderId="2" xfId="1" applyNumberFormat="1" applyFont="1" applyFill="1" applyBorder="1" applyAlignment="1">
      <alignment horizontal="center" vertical="center"/>
    </xf>
    <xf numFmtId="166" fontId="9" fillId="3" borderId="3" xfId="1" applyNumberFormat="1" applyFont="1" applyFill="1" applyBorder="1" applyAlignment="1">
      <alignment horizontal="center" vertical="center"/>
    </xf>
    <xf numFmtId="166" fontId="9" fillId="3" borderId="4" xfId="1" applyNumberFormat="1" applyFont="1" applyFill="1" applyBorder="1" applyAlignment="1">
      <alignment horizontal="center" vertical="center"/>
    </xf>
    <xf numFmtId="166" fontId="16" fillId="7" borderId="2" xfId="1" applyNumberFormat="1" applyFont="1" applyFill="1" applyBorder="1" applyAlignment="1">
      <alignment horizontal="center" vertical="top"/>
    </xf>
    <xf numFmtId="166" fontId="16" fillId="7" borderId="3" xfId="1" applyNumberFormat="1" applyFont="1" applyFill="1" applyBorder="1" applyAlignment="1">
      <alignment horizontal="center" vertical="top"/>
    </xf>
    <xf numFmtId="166" fontId="0" fillId="0" borderId="2" xfId="1" applyNumberFormat="1" applyFont="1" applyBorder="1" applyAlignment="1">
      <alignment horizontal="right" vertical="top"/>
    </xf>
    <xf numFmtId="166" fontId="0" fillId="8" borderId="1" xfId="0" applyNumberFormat="1" applyFill="1" applyBorder="1" applyAlignment="1">
      <alignment horizontal="right" vertical="top"/>
    </xf>
    <xf numFmtId="166" fontId="0" fillId="8" borderId="2" xfId="1" applyNumberFormat="1" applyFont="1" applyFill="1" applyBorder="1" applyAlignment="1">
      <alignment horizontal="right" vertical="top"/>
    </xf>
  </cellXfs>
  <cellStyles count="3">
    <cellStyle name="Comma" xfId="1" builtinId="3"/>
    <cellStyle name="Normal" xfId="0" builtinId="0"/>
    <cellStyle name="Normal 2" xfId="2"/>
  </cellStyles>
  <dxfs count="7">
    <dxf>
      <font>
        <b/>
        <i val="0"/>
      </font>
      <fill>
        <patternFill>
          <bgColor theme="7" tint="0.79998168889431442"/>
        </patternFill>
      </fill>
    </dxf>
    <dxf>
      <font>
        <color theme="0"/>
      </font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3" tint="0.3999450666829432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  <fill>
        <patternFill>
          <bgColor rgb="FFBA1A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nisa\Documents\Icha\CEA%202022\Daftar%20Aktiva%20Tetap%20Jun-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SClearing"/>
      <sheetName val="OSCIP"/>
      <sheetName val="Disposal"/>
      <sheetName val="ReclsCat."/>
      <sheetName val="CIPtoCap."/>
      <sheetName val="Prev.AddAsset"/>
      <sheetName val="Cap.Lease"/>
      <sheetName val="Curr.AddAsset"/>
      <sheetName val="ListAsset"/>
      <sheetName val="Form.Comm"/>
      <sheetName val="Form.Audit"/>
      <sheetName val="GL"/>
      <sheetName val="TransferToStation"/>
    </sheetNames>
    <sheetDataSet>
      <sheetData sheetId="0"/>
      <sheetData sheetId="1"/>
      <sheetData sheetId="2"/>
      <sheetData sheetId="3"/>
      <sheetData sheetId="4">
        <row r="35">
          <cell r="K35">
            <v>1755506100</v>
          </cell>
        </row>
      </sheetData>
      <sheetData sheetId="5">
        <row r="48">
          <cell r="K48">
            <v>-99250000</v>
          </cell>
        </row>
      </sheetData>
      <sheetData sheetId="6"/>
      <sheetData sheetId="7"/>
      <sheetData sheetId="8"/>
      <sheetData sheetId="9"/>
      <sheetData sheetId="10"/>
      <sheetData sheetId="11">
        <row r="237">
          <cell r="A237">
            <v>6825</v>
          </cell>
          <cell r="B237" t="str">
            <v>PM 174</v>
          </cell>
        </row>
        <row r="238">
          <cell r="A238">
            <v>6826</v>
          </cell>
          <cell r="B238" t="str">
            <v>PM 174</v>
          </cell>
        </row>
        <row r="239">
          <cell r="A239">
            <v>6827</v>
          </cell>
          <cell r="B239" t="str">
            <v>PM 174</v>
          </cell>
        </row>
        <row r="240">
          <cell r="A240">
            <v>6828</v>
          </cell>
          <cell r="B240" t="str">
            <v>PM 174</v>
          </cell>
        </row>
        <row r="241">
          <cell r="A241">
            <v>6829</v>
          </cell>
          <cell r="B241" t="str">
            <v>PM 174</v>
          </cell>
        </row>
        <row r="242">
          <cell r="A242">
            <v>6830</v>
          </cell>
          <cell r="B242" t="str">
            <v>PM 174</v>
          </cell>
        </row>
        <row r="243">
          <cell r="A243">
            <v>6831</v>
          </cell>
          <cell r="B243" t="str">
            <v>PM 174</v>
          </cell>
        </row>
        <row r="244">
          <cell r="A244">
            <v>6832</v>
          </cell>
          <cell r="B244" t="str">
            <v>PM 174</v>
          </cell>
        </row>
        <row r="245">
          <cell r="A245">
            <v>6833</v>
          </cell>
          <cell r="B245" t="str">
            <v>PM 174</v>
          </cell>
        </row>
        <row r="246">
          <cell r="A246">
            <v>6834</v>
          </cell>
          <cell r="B246" t="str">
            <v>PM 174</v>
          </cell>
        </row>
        <row r="247">
          <cell r="A247">
            <v>6835</v>
          </cell>
          <cell r="B247" t="str">
            <v>PM 174</v>
          </cell>
        </row>
        <row r="248">
          <cell r="A248">
            <v>6836</v>
          </cell>
          <cell r="B248" t="str">
            <v>PM 174</v>
          </cell>
        </row>
        <row r="249">
          <cell r="A249">
            <v>6837</v>
          </cell>
          <cell r="B249" t="str">
            <v>PM 174</v>
          </cell>
        </row>
        <row r="250">
          <cell r="A250">
            <v>6838</v>
          </cell>
          <cell r="B250" t="str">
            <v>PM 174</v>
          </cell>
        </row>
        <row r="251">
          <cell r="A251">
            <v>6839</v>
          </cell>
          <cell r="B251" t="str">
            <v>PM 174</v>
          </cell>
        </row>
        <row r="252">
          <cell r="A252">
            <v>6840</v>
          </cell>
          <cell r="B252" t="str">
            <v>PM 174</v>
          </cell>
        </row>
        <row r="253">
          <cell r="A253">
            <v>6841</v>
          </cell>
          <cell r="B253" t="str">
            <v>PM 174</v>
          </cell>
        </row>
        <row r="254">
          <cell r="A254">
            <v>6842</v>
          </cell>
          <cell r="B254" t="str">
            <v>PM 174</v>
          </cell>
        </row>
        <row r="255">
          <cell r="A255">
            <v>6843</v>
          </cell>
          <cell r="B255" t="str">
            <v>PM 174</v>
          </cell>
        </row>
        <row r="256">
          <cell r="A256">
            <v>6844</v>
          </cell>
          <cell r="B256" t="str">
            <v>PM 174</v>
          </cell>
        </row>
        <row r="257">
          <cell r="A257">
            <v>6845</v>
          </cell>
          <cell r="B257" t="str">
            <v>PM 174</v>
          </cell>
        </row>
        <row r="258">
          <cell r="A258">
            <v>6846</v>
          </cell>
          <cell r="B258" t="str">
            <v>PM 174</v>
          </cell>
        </row>
        <row r="259">
          <cell r="A259">
            <v>6847</v>
          </cell>
          <cell r="B259" t="str">
            <v>PM 174</v>
          </cell>
        </row>
        <row r="260">
          <cell r="A260">
            <v>6848</v>
          </cell>
          <cell r="B260" t="str">
            <v>PM 174</v>
          </cell>
        </row>
        <row r="261">
          <cell r="A261">
            <v>6849</v>
          </cell>
          <cell r="B261" t="str">
            <v>PM 174</v>
          </cell>
        </row>
        <row r="262">
          <cell r="A262">
            <v>6850</v>
          </cell>
          <cell r="B262" t="str">
            <v>PM 174</v>
          </cell>
        </row>
        <row r="263">
          <cell r="A263">
            <v>6851</v>
          </cell>
          <cell r="B263" t="str">
            <v>PM 174</v>
          </cell>
        </row>
        <row r="264">
          <cell r="A264">
            <v>7012</v>
          </cell>
          <cell r="B264" t="str">
            <v>PM 174</v>
          </cell>
        </row>
        <row r="265">
          <cell r="A265">
            <v>7013</v>
          </cell>
          <cell r="B265" t="str">
            <v>PM 174</v>
          </cell>
        </row>
        <row r="266">
          <cell r="A266">
            <v>7014</v>
          </cell>
          <cell r="B266" t="str">
            <v>PM 174</v>
          </cell>
        </row>
        <row r="267">
          <cell r="A267">
            <v>7015</v>
          </cell>
          <cell r="B267" t="str">
            <v>PM 174</v>
          </cell>
        </row>
        <row r="268">
          <cell r="A268">
            <v>7016</v>
          </cell>
          <cell r="B268" t="str">
            <v>PM 174</v>
          </cell>
        </row>
        <row r="269">
          <cell r="A269">
            <v>7017</v>
          </cell>
          <cell r="B269" t="str">
            <v>PM 174</v>
          </cell>
        </row>
        <row r="270">
          <cell r="A270">
            <v>7018</v>
          </cell>
          <cell r="B270" t="str">
            <v>PM 174</v>
          </cell>
        </row>
        <row r="271">
          <cell r="A271">
            <v>7019</v>
          </cell>
          <cell r="B271" t="str">
            <v>PM 174</v>
          </cell>
        </row>
        <row r="272">
          <cell r="A272">
            <v>7021</v>
          </cell>
          <cell r="B272" t="str">
            <v>PM 174</v>
          </cell>
        </row>
        <row r="273">
          <cell r="A273">
            <v>7022</v>
          </cell>
          <cell r="B273" t="str">
            <v>PM 174</v>
          </cell>
        </row>
        <row r="274">
          <cell r="A274">
            <v>7024</v>
          </cell>
          <cell r="B274" t="str">
            <v>PM 174</v>
          </cell>
        </row>
        <row r="275">
          <cell r="A275">
            <v>7025</v>
          </cell>
          <cell r="B275" t="str">
            <v>PM 174</v>
          </cell>
        </row>
        <row r="276">
          <cell r="A276">
            <v>7026</v>
          </cell>
          <cell r="B276" t="str">
            <v>PM 174</v>
          </cell>
        </row>
        <row r="277">
          <cell r="A277">
            <v>7027</v>
          </cell>
          <cell r="B277" t="str">
            <v>PM 174</v>
          </cell>
        </row>
        <row r="278">
          <cell r="A278">
            <v>7028</v>
          </cell>
          <cell r="B278" t="str">
            <v>PM 174</v>
          </cell>
        </row>
        <row r="279">
          <cell r="A279">
            <v>7029</v>
          </cell>
          <cell r="B279" t="str">
            <v>PM 174</v>
          </cell>
        </row>
        <row r="280">
          <cell r="A280">
            <v>7030</v>
          </cell>
          <cell r="B280" t="str">
            <v>PM 174</v>
          </cell>
        </row>
        <row r="281">
          <cell r="A281">
            <v>7031</v>
          </cell>
          <cell r="B281" t="str">
            <v>PM 174</v>
          </cell>
        </row>
        <row r="282">
          <cell r="A282">
            <v>7032</v>
          </cell>
          <cell r="B282" t="str">
            <v>PM 174</v>
          </cell>
        </row>
        <row r="283">
          <cell r="A283">
            <v>7033</v>
          </cell>
          <cell r="B283" t="str">
            <v>PM 174</v>
          </cell>
        </row>
        <row r="284">
          <cell r="A284">
            <v>7086</v>
          </cell>
          <cell r="B284" t="str">
            <v>PM 174</v>
          </cell>
        </row>
        <row r="285">
          <cell r="A285">
            <v>7087</v>
          </cell>
          <cell r="B285" t="str">
            <v>PM 174</v>
          </cell>
        </row>
        <row r="286">
          <cell r="A286">
            <v>7088</v>
          </cell>
          <cell r="B286" t="str">
            <v>PM 174</v>
          </cell>
        </row>
        <row r="287">
          <cell r="A287">
            <v>7089</v>
          </cell>
          <cell r="B287" t="str">
            <v>PM 174</v>
          </cell>
        </row>
        <row r="288">
          <cell r="A288">
            <v>7090</v>
          </cell>
          <cell r="B288" t="str">
            <v>PM 174</v>
          </cell>
        </row>
        <row r="289">
          <cell r="A289">
            <v>7150</v>
          </cell>
          <cell r="B289" t="str">
            <v>PM 174</v>
          </cell>
        </row>
        <row r="290">
          <cell r="A290">
            <v>7151</v>
          </cell>
          <cell r="B290" t="str">
            <v>PM 174</v>
          </cell>
        </row>
        <row r="291">
          <cell r="A291">
            <v>7152</v>
          </cell>
          <cell r="B291" t="str">
            <v>PM 174</v>
          </cell>
        </row>
        <row r="292">
          <cell r="A292">
            <v>7153</v>
          </cell>
          <cell r="B292" t="str">
            <v>PM 174</v>
          </cell>
        </row>
        <row r="293">
          <cell r="A293">
            <v>7154</v>
          </cell>
          <cell r="B293" t="str">
            <v>PM 174</v>
          </cell>
        </row>
        <row r="294">
          <cell r="A294">
            <v>7155</v>
          </cell>
          <cell r="B294" t="str">
            <v>PM 174</v>
          </cell>
        </row>
        <row r="295">
          <cell r="A295">
            <v>7156</v>
          </cell>
          <cell r="B295" t="str">
            <v>PM 174</v>
          </cell>
        </row>
        <row r="296">
          <cell r="A296">
            <v>7157</v>
          </cell>
          <cell r="B296" t="str">
            <v>PM 174</v>
          </cell>
        </row>
        <row r="297">
          <cell r="A297">
            <v>7158</v>
          </cell>
          <cell r="B297" t="str">
            <v>PM 174</v>
          </cell>
        </row>
        <row r="298">
          <cell r="A298">
            <v>7159</v>
          </cell>
          <cell r="B298" t="str">
            <v>PM 174</v>
          </cell>
        </row>
        <row r="299">
          <cell r="A299">
            <v>7160</v>
          </cell>
          <cell r="B299" t="str">
            <v>PM 174</v>
          </cell>
        </row>
        <row r="300">
          <cell r="A300">
            <v>7161</v>
          </cell>
          <cell r="B300" t="str">
            <v>PM 174</v>
          </cell>
        </row>
        <row r="301">
          <cell r="A301">
            <v>7162</v>
          </cell>
          <cell r="B301" t="str">
            <v>PM 174</v>
          </cell>
        </row>
        <row r="302">
          <cell r="A302">
            <v>7163</v>
          </cell>
          <cell r="B302" t="str">
            <v>PM 174</v>
          </cell>
        </row>
        <row r="303">
          <cell r="A303">
            <v>7164</v>
          </cell>
          <cell r="B303" t="str">
            <v>PM 174</v>
          </cell>
        </row>
        <row r="304">
          <cell r="A304">
            <v>7165</v>
          </cell>
          <cell r="B304" t="str">
            <v>PM 174</v>
          </cell>
        </row>
        <row r="305">
          <cell r="A305">
            <v>7166</v>
          </cell>
          <cell r="B305" t="str">
            <v>PM 174</v>
          </cell>
        </row>
        <row r="306">
          <cell r="A306">
            <v>7167</v>
          </cell>
          <cell r="B306" t="str">
            <v>PM 174</v>
          </cell>
        </row>
        <row r="307">
          <cell r="A307">
            <v>7168</v>
          </cell>
          <cell r="B307" t="str">
            <v>PM 174</v>
          </cell>
        </row>
        <row r="308">
          <cell r="A308">
            <v>7169</v>
          </cell>
          <cell r="B308" t="str">
            <v>PM 174</v>
          </cell>
        </row>
        <row r="309">
          <cell r="A309">
            <v>7170</v>
          </cell>
          <cell r="B309" t="str">
            <v>PM 174</v>
          </cell>
        </row>
        <row r="310">
          <cell r="A310">
            <v>7171</v>
          </cell>
          <cell r="B310" t="str">
            <v>PM 174</v>
          </cell>
        </row>
        <row r="311">
          <cell r="A311">
            <v>7172</v>
          </cell>
          <cell r="B311" t="str">
            <v>PM 174</v>
          </cell>
        </row>
        <row r="312">
          <cell r="A312">
            <v>7173</v>
          </cell>
          <cell r="B312" t="str">
            <v>PM 174</v>
          </cell>
        </row>
        <row r="313">
          <cell r="A313">
            <v>7174</v>
          </cell>
          <cell r="B313" t="str">
            <v>PM 174</v>
          </cell>
        </row>
        <row r="314">
          <cell r="A314">
            <v>7175</v>
          </cell>
          <cell r="B314" t="str">
            <v>PM 174</v>
          </cell>
        </row>
        <row r="315">
          <cell r="A315">
            <v>7176</v>
          </cell>
          <cell r="B315" t="str">
            <v>PM 174</v>
          </cell>
        </row>
        <row r="316">
          <cell r="A316">
            <v>7177</v>
          </cell>
          <cell r="B316" t="str">
            <v>PM 174</v>
          </cell>
        </row>
        <row r="317">
          <cell r="A317">
            <v>7178</v>
          </cell>
          <cell r="B317" t="str">
            <v>PM 174</v>
          </cell>
        </row>
        <row r="318">
          <cell r="A318">
            <v>7179</v>
          </cell>
          <cell r="B318" t="str">
            <v>PM 174</v>
          </cell>
        </row>
        <row r="319">
          <cell r="A319">
            <v>7180</v>
          </cell>
          <cell r="B319" t="str">
            <v>PM 174</v>
          </cell>
        </row>
        <row r="320">
          <cell r="A320">
            <v>7181</v>
          </cell>
          <cell r="B320" t="str">
            <v>PM 174</v>
          </cell>
        </row>
        <row r="321">
          <cell r="A321">
            <v>7312</v>
          </cell>
          <cell r="B321" t="str">
            <v>PM 174</v>
          </cell>
        </row>
        <row r="322">
          <cell r="A322">
            <v>7313</v>
          </cell>
          <cell r="B322" t="str">
            <v>PM 174</v>
          </cell>
        </row>
        <row r="323">
          <cell r="A323">
            <v>7314</v>
          </cell>
          <cell r="B323" t="str">
            <v>PM 174</v>
          </cell>
        </row>
        <row r="324">
          <cell r="A324">
            <v>7315</v>
          </cell>
          <cell r="B324" t="str">
            <v>PM 174</v>
          </cell>
        </row>
        <row r="325">
          <cell r="A325">
            <v>7316</v>
          </cell>
          <cell r="B325" t="str">
            <v>PM 174</v>
          </cell>
        </row>
        <row r="326">
          <cell r="A326">
            <v>7317</v>
          </cell>
          <cell r="B326" t="str">
            <v>PM 174</v>
          </cell>
        </row>
        <row r="327">
          <cell r="A327">
            <v>7318</v>
          </cell>
          <cell r="B327" t="str">
            <v>PM 174</v>
          </cell>
        </row>
        <row r="328">
          <cell r="A328">
            <v>7319</v>
          </cell>
          <cell r="B328" t="str">
            <v>PM 174</v>
          </cell>
        </row>
        <row r="329">
          <cell r="A329">
            <v>7320</v>
          </cell>
          <cell r="B329" t="str">
            <v>PM 174</v>
          </cell>
        </row>
        <row r="330">
          <cell r="A330">
            <v>7321</v>
          </cell>
          <cell r="B330" t="str">
            <v>PM 174</v>
          </cell>
        </row>
        <row r="331">
          <cell r="A331">
            <v>7683</v>
          </cell>
          <cell r="B331" t="str">
            <v>PM 174</v>
          </cell>
        </row>
        <row r="332">
          <cell r="A332">
            <v>7684</v>
          </cell>
          <cell r="B332" t="str">
            <v>PM 174</v>
          </cell>
        </row>
        <row r="333">
          <cell r="A333">
            <v>7898</v>
          </cell>
          <cell r="B333" t="str">
            <v>PM 174</v>
          </cell>
        </row>
        <row r="334">
          <cell r="A334">
            <v>7899</v>
          </cell>
          <cell r="B334" t="str">
            <v>PM 174</v>
          </cell>
        </row>
        <row r="335">
          <cell r="A335">
            <v>7900</v>
          </cell>
          <cell r="B335" t="str">
            <v>PM 174</v>
          </cell>
        </row>
        <row r="336">
          <cell r="A336">
            <v>7901</v>
          </cell>
          <cell r="B336" t="str">
            <v>PM 174</v>
          </cell>
        </row>
        <row r="337">
          <cell r="A337">
            <v>7902</v>
          </cell>
          <cell r="B337" t="str">
            <v>PM 174</v>
          </cell>
        </row>
        <row r="338">
          <cell r="A338">
            <v>7903</v>
          </cell>
          <cell r="B338" t="str">
            <v>PM 174</v>
          </cell>
        </row>
        <row r="339">
          <cell r="A339">
            <v>7904</v>
          </cell>
          <cell r="B339" t="str">
            <v>PM 174</v>
          </cell>
        </row>
        <row r="340">
          <cell r="A340">
            <v>7905</v>
          </cell>
          <cell r="B340" t="str">
            <v>PM 174</v>
          </cell>
        </row>
        <row r="341">
          <cell r="A341">
            <v>7906</v>
          </cell>
          <cell r="B341" t="str">
            <v>PM 174</v>
          </cell>
        </row>
        <row r="342">
          <cell r="A342">
            <v>7907</v>
          </cell>
          <cell r="B342" t="str">
            <v>PM 174</v>
          </cell>
        </row>
        <row r="343">
          <cell r="A343">
            <v>7908</v>
          </cell>
          <cell r="B343" t="str">
            <v>PM 174</v>
          </cell>
        </row>
        <row r="344">
          <cell r="A344">
            <v>7909</v>
          </cell>
          <cell r="B344" t="str">
            <v>PM 174</v>
          </cell>
        </row>
        <row r="345">
          <cell r="A345">
            <v>7910</v>
          </cell>
          <cell r="B345" t="str">
            <v>PM 174</v>
          </cell>
        </row>
        <row r="346">
          <cell r="A346">
            <v>7911</v>
          </cell>
          <cell r="B346" t="str">
            <v>PM 174</v>
          </cell>
        </row>
        <row r="347">
          <cell r="A347">
            <v>7912</v>
          </cell>
          <cell r="B347" t="str">
            <v>PM 174</v>
          </cell>
        </row>
        <row r="348">
          <cell r="A348">
            <v>7913</v>
          </cell>
          <cell r="B348" t="str">
            <v>PM 174</v>
          </cell>
        </row>
        <row r="349">
          <cell r="A349">
            <v>7914</v>
          </cell>
          <cell r="B349" t="str">
            <v>PM 174</v>
          </cell>
        </row>
        <row r="350">
          <cell r="A350">
            <v>7915</v>
          </cell>
          <cell r="B350" t="str">
            <v>PM 174</v>
          </cell>
        </row>
        <row r="351">
          <cell r="A351">
            <v>7916</v>
          </cell>
          <cell r="B351" t="str">
            <v>PM 174</v>
          </cell>
        </row>
        <row r="352">
          <cell r="A352">
            <v>7917</v>
          </cell>
          <cell r="B352" t="str">
            <v>PM 174</v>
          </cell>
        </row>
        <row r="353">
          <cell r="A353">
            <v>8649</v>
          </cell>
          <cell r="B353" t="str">
            <v>PM 174</v>
          </cell>
        </row>
        <row r="354">
          <cell r="A354">
            <v>8650</v>
          </cell>
          <cell r="B354" t="str">
            <v>PM 174</v>
          </cell>
        </row>
        <row r="355">
          <cell r="A355">
            <v>8651</v>
          </cell>
          <cell r="B355" t="str">
            <v>PM 174</v>
          </cell>
        </row>
        <row r="356">
          <cell r="A356">
            <v>8652</v>
          </cell>
          <cell r="B356" t="str">
            <v>PM 174</v>
          </cell>
        </row>
        <row r="357">
          <cell r="A357">
            <v>8653</v>
          </cell>
          <cell r="B357" t="str">
            <v>PM 174</v>
          </cell>
        </row>
        <row r="358">
          <cell r="A358">
            <v>8654</v>
          </cell>
          <cell r="B358" t="str">
            <v>PM 174</v>
          </cell>
        </row>
        <row r="359">
          <cell r="A359">
            <v>8658</v>
          </cell>
          <cell r="B359" t="str">
            <v>PM 174</v>
          </cell>
        </row>
        <row r="360">
          <cell r="A360">
            <v>8659</v>
          </cell>
          <cell r="B360" t="str">
            <v>PM 174</v>
          </cell>
        </row>
        <row r="361">
          <cell r="A361">
            <v>8664</v>
          </cell>
          <cell r="B361" t="str">
            <v>PM 174</v>
          </cell>
        </row>
        <row r="362">
          <cell r="A362">
            <v>8665</v>
          </cell>
          <cell r="B362" t="str">
            <v>PM 174</v>
          </cell>
        </row>
        <row r="363">
          <cell r="A363">
            <v>8666</v>
          </cell>
          <cell r="B363" t="str">
            <v>PM 174</v>
          </cell>
        </row>
        <row r="364">
          <cell r="A364">
            <v>9100</v>
          </cell>
          <cell r="B364" t="str">
            <v>PM 174</v>
          </cell>
        </row>
        <row r="365">
          <cell r="A365">
            <v>9101</v>
          </cell>
          <cell r="B365" t="str">
            <v>PM 174</v>
          </cell>
        </row>
        <row r="366">
          <cell r="A366">
            <v>9102</v>
          </cell>
          <cell r="B366" t="str">
            <v>PM 174</v>
          </cell>
        </row>
        <row r="367">
          <cell r="A367">
            <v>9111</v>
          </cell>
          <cell r="B367" t="str">
            <v>PM 174</v>
          </cell>
        </row>
        <row r="368">
          <cell r="A368">
            <v>9112</v>
          </cell>
          <cell r="B368" t="str">
            <v>PM 174</v>
          </cell>
        </row>
        <row r="369">
          <cell r="A369">
            <v>9113</v>
          </cell>
          <cell r="B369" t="str">
            <v>PM 174</v>
          </cell>
        </row>
        <row r="370">
          <cell r="A370">
            <v>9114</v>
          </cell>
          <cell r="B370" t="str">
            <v>PM 174</v>
          </cell>
        </row>
        <row r="371">
          <cell r="A371">
            <v>9115</v>
          </cell>
          <cell r="B371" t="str">
            <v>PM 174</v>
          </cell>
        </row>
        <row r="372">
          <cell r="A372">
            <v>9116</v>
          </cell>
          <cell r="B372" t="str">
            <v>PM 174</v>
          </cell>
        </row>
        <row r="373">
          <cell r="A373">
            <v>9117</v>
          </cell>
          <cell r="B373" t="str">
            <v>PM 174</v>
          </cell>
        </row>
        <row r="374">
          <cell r="A374">
            <v>9118</v>
          </cell>
          <cell r="B374" t="str">
            <v>PM 174</v>
          </cell>
        </row>
        <row r="375">
          <cell r="A375">
            <v>9119</v>
          </cell>
          <cell r="B375" t="str">
            <v>PM 174</v>
          </cell>
        </row>
        <row r="376">
          <cell r="A376">
            <v>9120</v>
          </cell>
          <cell r="B376" t="str">
            <v>PM 174</v>
          </cell>
        </row>
        <row r="377">
          <cell r="A377">
            <v>9121</v>
          </cell>
          <cell r="B377" t="str">
            <v>PM 174</v>
          </cell>
        </row>
        <row r="378">
          <cell r="A378">
            <v>9122</v>
          </cell>
          <cell r="B378" t="str">
            <v>PM 174</v>
          </cell>
        </row>
        <row r="379">
          <cell r="A379">
            <v>9123</v>
          </cell>
          <cell r="B379" t="str">
            <v>PM 174</v>
          </cell>
        </row>
        <row r="380">
          <cell r="A380">
            <v>9124</v>
          </cell>
          <cell r="B380" t="str">
            <v>PM 174</v>
          </cell>
        </row>
        <row r="381">
          <cell r="A381">
            <v>9126</v>
          </cell>
          <cell r="B381" t="str">
            <v>PM 174</v>
          </cell>
        </row>
        <row r="382">
          <cell r="A382">
            <v>9127</v>
          </cell>
          <cell r="B382" t="str">
            <v>PM 174</v>
          </cell>
        </row>
        <row r="383">
          <cell r="A383">
            <v>9129</v>
          </cell>
          <cell r="B383" t="str">
            <v>PM 174</v>
          </cell>
        </row>
        <row r="384">
          <cell r="A384">
            <v>9130</v>
          </cell>
          <cell r="B384" t="str">
            <v>PM 174</v>
          </cell>
        </row>
        <row r="385">
          <cell r="A385">
            <v>9131</v>
          </cell>
          <cell r="B385" t="str">
            <v>PM 174</v>
          </cell>
        </row>
        <row r="386">
          <cell r="A386">
            <v>9681</v>
          </cell>
          <cell r="B386" t="str">
            <v>PM 174</v>
          </cell>
        </row>
        <row r="387">
          <cell r="A387">
            <v>9682</v>
          </cell>
          <cell r="B387" t="str">
            <v>PM 174</v>
          </cell>
        </row>
        <row r="388">
          <cell r="A388">
            <v>9685</v>
          </cell>
          <cell r="B388" t="str">
            <v>PM 174</v>
          </cell>
        </row>
        <row r="389">
          <cell r="A389">
            <v>9686</v>
          </cell>
          <cell r="B389" t="str">
            <v>PM 174</v>
          </cell>
        </row>
        <row r="390">
          <cell r="A390">
            <v>9687</v>
          </cell>
          <cell r="B390" t="str">
            <v>PM 174</v>
          </cell>
        </row>
        <row r="391">
          <cell r="A391">
            <v>9688</v>
          </cell>
          <cell r="B391" t="str">
            <v>PM 174</v>
          </cell>
        </row>
        <row r="392">
          <cell r="A392">
            <v>9689</v>
          </cell>
          <cell r="B392" t="str">
            <v>PM 174</v>
          </cell>
        </row>
        <row r="393">
          <cell r="A393">
            <v>9690</v>
          </cell>
          <cell r="B393" t="str">
            <v>PM 174</v>
          </cell>
        </row>
        <row r="394">
          <cell r="A394">
            <v>9691</v>
          </cell>
          <cell r="B394" t="str">
            <v>PM 174</v>
          </cell>
        </row>
        <row r="395">
          <cell r="A395">
            <v>9692</v>
          </cell>
          <cell r="B395" t="str">
            <v>PM 174</v>
          </cell>
        </row>
        <row r="396">
          <cell r="A396">
            <v>9693</v>
          </cell>
          <cell r="B396" t="str">
            <v>PM 174</v>
          </cell>
        </row>
        <row r="397">
          <cell r="A397">
            <v>9694</v>
          </cell>
          <cell r="B397" t="str">
            <v>PM 174</v>
          </cell>
        </row>
        <row r="398">
          <cell r="A398">
            <v>9695</v>
          </cell>
          <cell r="B398" t="str">
            <v>PM 174</v>
          </cell>
        </row>
        <row r="399">
          <cell r="A399">
            <v>9696</v>
          </cell>
          <cell r="B399" t="str">
            <v>PM 174</v>
          </cell>
        </row>
        <row r="400">
          <cell r="A400">
            <v>9697</v>
          </cell>
          <cell r="B400" t="str">
            <v>PM 174</v>
          </cell>
        </row>
        <row r="401">
          <cell r="A401">
            <v>9698</v>
          </cell>
          <cell r="B401" t="str">
            <v>PM 174</v>
          </cell>
        </row>
        <row r="402">
          <cell r="A402">
            <v>9699</v>
          </cell>
          <cell r="B402" t="str">
            <v>PM 174</v>
          </cell>
        </row>
        <row r="403">
          <cell r="A403">
            <v>9700</v>
          </cell>
          <cell r="B403" t="str">
            <v>PM 174</v>
          </cell>
        </row>
        <row r="404">
          <cell r="A404">
            <v>9701</v>
          </cell>
          <cell r="B404" t="str">
            <v>PM 174</v>
          </cell>
        </row>
        <row r="405">
          <cell r="A405">
            <v>9702</v>
          </cell>
          <cell r="B405" t="str">
            <v>PM 174</v>
          </cell>
        </row>
        <row r="406">
          <cell r="A406">
            <v>9703</v>
          </cell>
          <cell r="B406" t="str">
            <v>PM 174</v>
          </cell>
        </row>
        <row r="407">
          <cell r="A407">
            <v>9704</v>
          </cell>
          <cell r="B407" t="str">
            <v>PM 174</v>
          </cell>
        </row>
        <row r="408">
          <cell r="A408">
            <v>9762</v>
          </cell>
          <cell r="B408" t="str">
            <v>PM 174</v>
          </cell>
        </row>
        <row r="409">
          <cell r="A409">
            <v>9763</v>
          </cell>
          <cell r="B409" t="str">
            <v>PM 174</v>
          </cell>
        </row>
        <row r="410">
          <cell r="A410">
            <v>9764</v>
          </cell>
          <cell r="B410" t="str">
            <v>PM 174</v>
          </cell>
        </row>
        <row r="411">
          <cell r="A411">
            <v>9765</v>
          </cell>
          <cell r="B411" t="str">
            <v>PM 174</v>
          </cell>
        </row>
        <row r="412">
          <cell r="A412">
            <v>9766</v>
          </cell>
          <cell r="B412" t="str">
            <v>PM 174</v>
          </cell>
        </row>
        <row r="413">
          <cell r="A413">
            <v>9767</v>
          </cell>
          <cell r="B413" t="str">
            <v>PM 174</v>
          </cell>
        </row>
        <row r="414">
          <cell r="A414">
            <v>10168</v>
          </cell>
          <cell r="B414" t="str">
            <v>PM 174</v>
          </cell>
        </row>
        <row r="415">
          <cell r="A415">
            <v>10169</v>
          </cell>
          <cell r="B415" t="str">
            <v>PM 174</v>
          </cell>
        </row>
        <row r="416">
          <cell r="A416">
            <v>10170</v>
          </cell>
          <cell r="B416" t="str">
            <v>PM 174</v>
          </cell>
        </row>
        <row r="417">
          <cell r="A417">
            <v>10172</v>
          </cell>
          <cell r="B417" t="str">
            <v>PM 174</v>
          </cell>
        </row>
        <row r="418">
          <cell r="A418">
            <v>10173</v>
          </cell>
          <cell r="B418" t="str">
            <v>PM 174</v>
          </cell>
        </row>
        <row r="419">
          <cell r="A419">
            <v>10254</v>
          </cell>
          <cell r="B419" t="str">
            <v>PM 174</v>
          </cell>
        </row>
        <row r="420">
          <cell r="A420">
            <v>10413</v>
          </cell>
          <cell r="B420" t="str">
            <v>PM 174</v>
          </cell>
        </row>
        <row r="421">
          <cell r="A421">
            <v>10572</v>
          </cell>
          <cell r="B421" t="str">
            <v>PM 174</v>
          </cell>
        </row>
        <row r="422">
          <cell r="A422">
            <v>10573</v>
          </cell>
          <cell r="B422" t="str">
            <v>PM 174</v>
          </cell>
        </row>
        <row r="423">
          <cell r="A423">
            <v>10574</v>
          </cell>
          <cell r="B423" t="str">
            <v>PM 174</v>
          </cell>
        </row>
        <row r="424">
          <cell r="A424">
            <v>10575</v>
          </cell>
          <cell r="B424" t="str">
            <v>PM 174</v>
          </cell>
        </row>
        <row r="425">
          <cell r="A425">
            <v>10576</v>
          </cell>
          <cell r="B425" t="str">
            <v>PM 174</v>
          </cell>
        </row>
        <row r="426">
          <cell r="A426">
            <v>10577</v>
          </cell>
          <cell r="B426" t="str">
            <v>PM 174</v>
          </cell>
        </row>
        <row r="427">
          <cell r="A427">
            <v>10579</v>
          </cell>
          <cell r="B427" t="str">
            <v>PM 174</v>
          </cell>
        </row>
        <row r="428">
          <cell r="A428">
            <v>10580</v>
          </cell>
          <cell r="B428" t="str">
            <v>PM 174</v>
          </cell>
        </row>
        <row r="429">
          <cell r="A429">
            <v>10581</v>
          </cell>
          <cell r="B429" t="str">
            <v>PM 174</v>
          </cell>
        </row>
        <row r="430">
          <cell r="A430">
            <v>10582</v>
          </cell>
          <cell r="B430" t="str">
            <v>PM 174</v>
          </cell>
        </row>
        <row r="431">
          <cell r="A431">
            <v>10583</v>
          </cell>
          <cell r="B431" t="str">
            <v>PM 174</v>
          </cell>
        </row>
        <row r="432">
          <cell r="A432">
            <v>10584</v>
          </cell>
          <cell r="B432" t="str">
            <v>PM 174</v>
          </cell>
        </row>
        <row r="433">
          <cell r="A433">
            <v>10585</v>
          </cell>
          <cell r="B433" t="str">
            <v>PM 174</v>
          </cell>
        </row>
        <row r="434">
          <cell r="A434">
            <v>10586</v>
          </cell>
          <cell r="B434" t="str">
            <v>PM 174</v>
          </cell>
        </row>
        <row r="435">
          <cell r="A435">
            <v>10587</v>
          </cell>
          <cell r="B435" t="str">
            <v>PM 174</v>
          </cell>
        </row>
        <row r="436">
          <cell r="A436">
            <v>10588</v>
          </cell>
          <cell r="B436" t="str">
            <v>PM 174</v>
          </cell>
        </row>
        <row r="437">
          <cell r="A437">
            <v>10589</v>
          </cell>
          <cell r="B437" t="str">
            <v>PM 174</v>
          </cell>
        </row>
        <row r="438">
          <cell r="A438">
            <v>10590</v>
          </cell>
          <cell r="B438" t="str">
            <v>PM 174</v>
          </cell>
        </row>
        <row r="439">
          <cell r="A439">
            <v>10591</v>
          </cell>
          <cell r="B439" t="str">
            <v>PM 174</v>
          </cell>
        </row>
        <row r="440">
          <cell r="A440">
            <v>10592</v>
          </cell>
          <cell r="B440" t="str">
            <v>PM 174</v>
          </cell>
        </row>
        <row r="441">
          <cell r="A441">
            <v>10593</v>
          </cell>
          <cell r="B441" t="str">
            <v>PM 174</v>
          </cell>
        </row>
        <row r="442">
          <cell r="A442">
            <v>10594</v>
          </cell>
          <cell r="B442" t="str">
            <v>PM 174</v>
          </cell>
        </row>
        <row r="443">
          <cell r="A443">
            <v>10595</v>
          </cell>
          <cell r="B443" t="str">
            <v>PM 174</v>
          </cell>
        </row>
        <row r="444">
          <cell r="A444">
            <v>10596</v>
          </cell>
          <cell r="B444" t="str">
            <v>PM 174</v>
          </cell>
        </row>
        <row r="445">
          <cell r="A445">
            <v>10597</v>
          </cell>
          <cell r="B445" t="str">
            <v>PM 174</v>
          </cell>
        </row>
        <row r="446">
          <cell r="A446">
            <v>10598</v>
          </cell>
          <cell r="B446" t="str">
            <v>PM 174</v>
          </cell>
        </row>
        <row r="447">
          <cell r="A447">
            <v>10599</v>
          </cell>
          <cell r="B447" t="str">
            <v>PM 174</v>
          </cell>
        </row>
        <row r="448">
          <cell r="A448">
            <v>10600</v>
          </cell>
          <cell r="B448" t="str">
            <v>PM 174</v>
          </cell>
        </row>
        <row r="449">
          <cell r="A449">
            <v>10601</v>
          </cell>
          <cell r="B449" t="str">
            <v>PM 174</v>
          </cell>
        </row>
        <row r="450">
          <cell r="A450">
            <v>10794</v>
          </cell>
          <cell r="B450" t="str">
            <v>PM 174</v>
          </cell>
        </row>
        <row r="451">
          <cell r="A451">
            <v>11033</v>
          </cell>
          <cell r="B451" t="str">
            <v>PM 174</v>
          </cell>
        </row>
        <row r="452">
          <cell r="A452">
            <v>11034</v>
          </cell>
          <cell r="B452" t="str">
            <v>PM 174</v>
          </cell>
        </row>
        <row r="453">
          <cell r="A453">
            <v>11035</v>
          </cell>
          <cell r="B453" t="str">
            <v>PM 174</v>
          </cell>
        </row>
        <row r="454">
          <cell r="A454">
            <v>11036</v>
          </cell>
          <cell r="B454" t="str">
            <v>PM 174</v>
          </cell>
        </row>
        <row r="455">
          <cell r="A455">
            <v>11037</v>
          </cell>
          <cell r="B455" t="str">
            <v>PM 174</v>
          </cell>
        </row>
        <row r="456">
          <cell r="A456">
            <v>11038</v>
          </cell>
          <cell r="B456" t="str">
            <v>PM 174</v>
          </cell>
        </row>
        <row r="457">
          <cell r="A457">
            <v>11039</v>
          </cell>
          <cell r="B457" t="str">
            <v>PM 174</v>
          </cell>
        </row>
        <row r="458">
          <cell r="A458">
            <v>11040</v>
          </cell>
          <cell r="B458" t="str">
            <v>PM 174</v>
          </cell>
        </row>
        <row r="459">
          <cell r="A459">
            <v>11041</v>
          </cell>
          <cell r="B459" t="str">
            <v>PM 174</v>
          </cell>
        </row>
        <row r="460">
          <cell r="A460">
            <v>11042</v>
          </cell>
          <cell r="B460" t="str">
            <v>PM 174</v>
          </cell>
        </row>
        <row r="461">
          <cell r="A461">
            <v>11043</v>
          </cell>
          <cell r="B461" t="str">
            <v>PM 174</v>
          </cell>
        </row>
        <row r="462">
          <cell r="A462">
            <v>11044</v>
          </cell>
          <cell r="B462" t="str">
            <v>PM 174</v>
          </cell>
        </row>
        <row r="463">
          <cell r="A463">
            <v>11045</v>
          </cell>
          <cell r="B463" t="str">
            <v>PM 174</v>
          </cell>
        </row>
        <row r="464">
          <cell r="A464">
            <v>11046</v>
          </cell>
          <cell r="B464" t="str">
            <v>PM 174</v>
          </cell>
        </row>
        <row r="465">
          <cell r="A465">
            <v>11047</v>
          </cell>
          <cell r="B465" t="str">
            <v>PM 174</v>
          </cell>
        </row>
        <row r="466">
          <cell r="A466">
            <v>11048</v>
          </cell>
          <cell r="B466" t="str">
            <v>PM 174</v>
          </cell>
        </row>
        <row r="467">
          <cell r="A467">
            <v>11049</v>
          </cell>
          <cell r="B467" t="str">
            <v>PM 174</v>
          </cell>
        </row>
        <row r="468">
          <cell r="A468">
            <v>11050</v>
          </cell>
          <cell r="B468" t="str">
            <v>PM 174</v>
          </cell>
        </row>
        <row r="469">
          <cell r="A469">
            <v>11051</v>
          </cell>
          <cell r="B469" t="str">
            <v>PM 174</v>
          </cell>
        </row>
        <row r="470">
          <cell r="A470">
            <v>11052</v>
          </cell>
          <cell r="B470" t="str">
            <v>PM 174</v>
          </cell>
        </row>
        <row r="471">
          <cell r="A471">
            <v>11053</v>
          </cell>
          <cell r="B471" t="str">
            <v>PM 174</v>
          </cell>
        </row>
        <row r="472">
          <cell r="A472">
            <v>11054</v>
          </cell>
          <cell r="B472" t="str">
            <v>PM 174</v>
          </cell>
        </row>
        <row r="473">
          <cell r="A473">
            <v>11055</v>
          </cell>
          <cell r="B473" t="str">
            <v>PM 174</v>
          </cell>
        </row>
        <row r="474">
          <cell r="A474">
            <v>11056</v>
          </cell>
          <cell r="B474" t="str">
            <v>PM 174</v>
          </cell>
        </row>
        <row r="475">
          <cell r="A475">
            <v>11057</v>
          </cell>
          <cell r="B475" t="str">
            <v>PM 174</v>
          </cell>
        </row>
        <row r="476">
          <cell r="A476">
            <v>11100</v>
          </cell>
          <cell r="B476" t="str">
            <v>PM 174</v>
          </cell>
        </row>
        <row r="477">
          <cell r="A477">
            <v>11101</v>
          </cell>
          <cell r="B477" t="str">
            <v>PM 174</v>
          </cell>
        </row>
        <row r="478">
          <cell r="A478">
            <v>11102</v>
          </cell>
          <cell r="B478" t="str">
            <v>PM 174</v>
          </cell>
        </row>
        <row r="479">
          <cell r="A479">
            <v>11103</v>
          </cell>
          <cell r="B479" t="str">
            <v>PM 174</v>
          </cell>
        </row>
        <row r="480">
          <cell r="A480">
            <v>11104</v>
          </cell>
          <cell r="B480" t="str">
            <v>PM 174</v>
          </cell>
        </row>
        <row r="481">
          <cell r="A481">
            <v>11105</v>
          </cell>
          <cell r="B481" t="str">
            <v>PM 174</v>
          </cell>
        </row>
        <row r="482">
          <cell r="A482">
            <v>11106</v>
          </cell>
          <cell r="B482" t="str">
            <v>PM 174</v>
          </cell>
        </row>
        <row r="483">
          <cell r="A483">
            <v>11107</v>
          </cell>
          <cell r="B483" t="str">
            <v>PM 174</v>
          </cell>
        </row>
        <row r="484">
          <cell r="A484">
            <v>11108</v>
          </cell>
          <cell r="B484" t="str">
            <v>PM 174</v>
          </cell>
        </row>
        <row r="485">
          <cell r="A485">
            <v>11109</v>
          </cell>
          <cell r="B485" t="str">
            <v>PM 174</v>
          </cell>
        </row>
        <row r="486">
          <cell r="A486">
            <v>11110</v>
          </cell>
          <cell r="B486" t="str">
            <v>PM 174</v>
          </cell>
        </row>
        <row r="487">
          <cell r="A487">
            <v>11111</v>
          </cell>
          <cell r="B487" t="str">
            <v>PM 174</v>
          </cell>
        </row>
        <row r="488">
          <cell r="A488">
            <v>11112</v>
          </cell>
          <cell r="B488" t="str">
            <v>PM 174</v>
          </cell>
        </row>
        <row r="489">
          <cell r="A489">
            <v>11113</v>
          </cell>
          <cell r="B489" t="str">
            <v>PM 174</v>
          </cell>
        </row>
        <row r="490">
          <cell r="A490">
            <v>11114</v>
          </cell>
          <cell r="B490" t="str">
            <v>PM 174</v>
          </cell>
        </row>
        <row r="491">
          <cell r="A491">
            <v>11115</v>
          </cell>
          <cell r="B491" t="str">
            <v>PM 174</v>
          </cell>
        </row>
        <row r="492">
          <cell r="A492">
            <v>11116</v>
          </cell>
          <cell r="B492" t="str">
            <v>PM 174</v>
          </cell>
        </row>
        <row r="493">
          <cell r="A493">
            <v>11117</v>
          </cell>
          <cell r="B493" t="str">
            <v>PM 174</v>
          </cell>
        </row>
        <row r="494">
          <cell r="A494">
            <v>11118</v>
          </cell>
          <cell r="B494" t="str">
            <v>PM 174</v>
          </cell>
        </row>
        <row r="495">
          <cell r="A495">
            <v>11119</v>
          </cell>
          <cell r="B495" t="str">
            <v>PM 174</v>
          </cell>
        </row>
        <row r="496">
          <cell r="A496">
            <v>11120</v>
          </cell>
          <cell r="B496" t="str">
            <v>PM 174</v>
          </cell>
        </row>
        <row r="497">
          <cell r="A497">
            <v>11121</v>
          </cell>
          <cell r="B497" t="str">
            <v>PM 174</v>
          </cell>
        </row>
        <row r="498">
          <cell r="A498">
            <v>11122</v>
          </cell>
          <cell r="B498" t="str">
            <v>PM 174</v>
          </cell>
        </row>
        <row r="499">
          <cell r="A499">
            <v>11123</v>
          </cell>
          <cell r="B499" t="str">
            <v>PM 174</v>
          </cell>
        </row>
        <row r="500">
          <cell r="A500">
            <v>11124</v>
          </cell>
          <cell r="B500" t="str">
            <v>PM 174</v>
          </cell>
        </row>
        <row r="501">
          <cell r="A501">
            <v>11125</v>
          </cell>
          <cell r="B501" t="str">
            <v>PM 174</v>
          </cell>
        </row>
        <row r="502">
          <cell r="A502">
            <v>11126</v>
          </cell>
          <cell r="B502" t="str">
            <v>PM 174</v>
          </cell>
        </row>
        <row r="503">
          <cell r="A503">
            <v>11127</v>
          </cell>
          <cell r="B503" t="str">
            <v>PM 174</v>
          </cell>
        </row>
        <row r="504">
          <cell r="A504">
            <v>11128</v>
          </cell>
          <cell r="B504" t="str">
            <v>PM 174</v>
          </cell>
        </row>
        <row r="505">
          <cell r="A505">
            <v>11129</v>
          </cell>
          <cell r="B505" t="str">
            <v>PM 174</v>
          </cell>
        </row>
        <row r="506">
          <cell r="A506">
            <v>11307</v>
          </cell>
          <cell r="B506" t="str">
            <v>PM 174</v>
          </cell>
        </row>
        <row r="507">
          <cell r="A507">
            <v>11437</v>
          </cell>
          <cell r="B507" t="str">
            <v>PM 174</v>
          </cell>
        </row>
        <row r="508">
          <cell r="A508">
            <v>11438</v>
          </cell>
          <cell r="B508" t="str">
            <v>PM 174</v>
          </cell>
        </row>
        <row r="509">
          <cell r="A509">
            <v>11491</v>
          </cell>
          <cell r="B509" t="str">
            <v>PM 174</v>
          </cell>
        </row>
        <row r="510">
          <cell r="A510">
            <v>11492</v>
          </cell>
          <cell r="B510" t="str">
            <v>PM 174</v>
          </cell>
        </row>
        <row r="511">
          <cell r="A511">
            <v>19556</v>
          </cell>
          <cell r="B511" t="str">
            <v>PM 174</v>
          </cell>
        </row>
        <row r="512">
          <cell r="A512">
            <v>20553</v>
          </cell>
          <cell r="B512" t="str">
            <v>PM 174</v>
          </cell>
        </row>
        <row r="513">
          <cell r="A513">
            <v>20554</v>
          </cell>
          <cell r="B513" t="str">
            <v>PM 174</v>
          </cell>
        </row>
        <row r="514">
          <cell r="A514">
            <v>20560</v>
          </cell>
          <cell r="B514" t="str">
            <v>PM 174</v>
          </cell>
        </row>
        <row r="515">
          <cell r="A515">
            <v>22622</v>
          </cell>
          <cell r="B515" t="str">
            <v>PM 174</v>
          </cell>
        </row>
        <row r="516">
          <cell r="A516">
            <v>22623</v>
          </cell>
          <cell r="B516" t="str">
            <v>PM 174</v>
          </cell>
        </row>
        <row r="517">
          <cell r="A517">
            <v>27614</v>
          </cell>
          <cell r="B517" t="str">
            <v>PM 174</v>
          </cell>
        </row>
        <row r="518">
          <cell r="A518">
            <v>27615</v>
          </cell>
          <cell r="B518" t="str">
            <v>PM 174</v>
          </cell>
        </row>
        <row r="519">
          <cell r="A519">
            <v>27616</v>
          </cell>
          <cell r="B519" t="str">
            <v>PM 174</v>
          </cell>
        </row>
        <row r="520">
          <cell r="A520">
            <v>27617</v>
          </cell>
          <cell r="B520" t="str">
            <v>PM 174</v>
          </cell>
        </row>
        <row r="521">
          <cell r="A521">
            <v>27618</v>
          </cell>
          <cell r="B521" t="str">
            <v>PM 174</v>
          </cell>
        </row>
        <row r="522">
          <cell r="A522">
            <v>27619</v>
          </cell>
          <cell r="B522" t="str">
            <v>PM 174</v>
          </cell>
        </row>
        <row r="523">
          <cell r="A523">
            <v>27620</v>
          </cell>
          <cell r="B523" t="str">
            <v>PM 174</v>
          </cell>
        </row>
        <row r="524">
          <cell r="A524">
            <v>27621</v>
          </cell>
          <cell r="B524" t="str">
            <v>PM 174</v>
          </cell>
        </row>
        <row r="525">
          <cell r="A525">
            <v>27622</v>
          </cell>
          <cell r="B525" t="str">
            <v>PM 174</v>
          </cell>
        </row>
        <row r="526">
          <cell r="A526">
            <v>27623</v>
          </cell>
          <cell r="B526" t="str">
            <v>PM 174</v>
          </cell>
        </row>
        <row r="527">
          <cell r="A527">
            <v>28614</v>
          </cell>
          <cell r="B527" t="str">
            <v>PM 174</v>
          </cell>
        </row>
        <row r="528">
          <cell r="A528">
            <v>28615</v>
          </cell>
          <cell r="B528" t="str">
            <v>PM 174</v>
          </cell>
        </row>
        <row r="529">
          <cell r="A529">
            <v>28616</v>
          </cell>
          <cell r="B529" t="str">
            <v>PM 174</v>
          </cell>
        </row>
        <row r="530">
          <cell r="A530">
            <v>28617</v>
          </cell>
          <cell r="B530" t="str">
            <v>PM 174</v>
          </cell>
        </row>
        <row r="531">
          <cell r="A531">
            <v>28618</v>
          </cell>
          <cell r="B531" t="str">
            <v>PM 174</v>
          </cell>
        </row>
        <row r="532">
          <cell r="A532">
            <v>28619</v>
          </cell>
          <cell r="B532" t="str">
            <v>PM 174</v>
          </cell>
        </row>
        <row r="533">
          <cell r="A533">
            <v>28620</v>
          </cell>
          <cell r="B533" t="str">
            <v>PM 174</v>
          </cell>
        </row>
        <row r="534">
          <cell r="A534">
            <v>28621</v>
          </cell>
          <cell r="B534" t="str">
            <v>PM 174</v>
          </cell>
        </row>
        <row r="535">
          <cell r="A535">
            <v>28622</v>
          </cell>
          <cell r="B535" t="str">
            <v>PM 174</v>
          </cell>
        </row>
        <row r="536">
          <cell r="A536">
            <v>28623</v>
          </cell>
          <cell r="B536" t="str">
            <v>PM 174</v>
          </cell>
        </row>
        <row r="537">
          <cell r="A537">
            <v>28624</v>
          </cell>
          <cell r="B537" t="str">
            <v>PM 174</v>
          </cell>
        </row>
        <row r="538">
          <cell r="A538">
            <v>28625</v>
          </cell>
          <cell r="B538" t="str">
            <v>PM 174</v>
          </cell>
        </row>
        <row r="539">
          <cell r="A539">
            <v>28626</v>
          </cell>
          <cell r="B539" t="str">
            <v>PM 174</v>
          </cell>
        </row>
        <row r="540">
          <cell r="A540">
            <v>28627</v>
          </cell>
          <cell r="B540" t="str">
            <v>PM 174</v>
          </cell>
        </row>
        <row r="541">
          <cell r="A541">
            <v>28628</v>
          </cell>
          <cell r="B541" t="str">
            <v>PM 174</v>
          </cell>
        </row>
        <row r="542">
          <cell r="A542">
            <v>28629</v>
          </cell>
          <cell r="B542" t="str">
            <v>PM 174</v>
          </cell>
        </row>
        <row r="543">
          <cell r="A543">
            <v>28630</v>
          </cell>
          <cell r="B543" t="str">
            <v>PM 174</v>
          </cell>
        </row>
        <row r="544">
          <cell r="A544">
            <v>28631</v>
          </cell>
          <cell r="B544" t="str">
            <v>PM 174</v>
          </cell>
        </row>
        <row r="545">
          <cell r="A545">
            <v>28632</v>
          </cell>
          <cell r="B545" t="str">
            <v>PM 174</v>
          </cell>
        </row>
        <row r="546">
          <cell r="A546">
            <v>28633</v>
          </cell>
          <cell r="B546" t="str">
            <v>PM 174</v>
          </cell>
        </row>
        <row r="547">
          <cell r="A547">
            <v>28634</v>
          </cell>
          <cell r="B547" t="str">
            <v>PM 174</v>
          </cell>
        </row>
        <row r="548">
          <cell r="A548">
            <v>28635</v>
          </cell>
          <cell r="B548" t="str">
            <v>PM 174</v>
          </cell>
        </row>
        <row r="549">
          <cell r="A549">
            <v>28636</v>
          </cell>
          <cell r="B549" t="str">
            <v>PM 174</v>
          </cell>
        </row>
        <row r="550">
          <cell r="A550">
            <v>28637</v>
          </cell>
          <cell r="B550" t="str">
            <v>PM 174</v>
          </cell>
        </row>
        <row r="551">
          <cell r="A551">
            <v>28638</v>
          </cell>
          <cell r="B551" t="str">
            <v>PM 174</v>
          </cell>
        </row>
        <row r="552">
          <cell r="A552">
            <v>28639</v>
          </cell>
          <cell r="B552" t="str">
            <v>PM 174</v>
          </cell>
        </row>
        <row r="553">
          <cell r="A553">
            <v>28640</v>
          </cell>
          <cell r="B553" t="str">
            <v>PM 174</v>
          </cell>
        </row>
        <row r="554">
          <cell r="A554">
            <v>28641</v>
          </cell>
          <cell r="B554" t="str">
            <v>PM 174</v>
          </cell>
        </row>
        <row r="555">
          <cell r="A555">
            <v>28642</v>
          </cell>
          <cell r="B555" t="str">
            <v>PM 174</v>
          </cell>
        </row>
        <row r="556">
          <cell r="A556">
            <v>28643</v>
          </cell>
          <cell r="B556" t="str">
            <v>PM 174</v>
          </cell>
        </row>
        <row r="557">
          <cell r="A557">
            <v>28644</v>
          </cell>
          <cell r="B557" t="str">
            <v>PM 174</v>
          </cell>
        </row>
        <row r="558">
          <cell r="A558">
            <v>28645</v>
          </cell>
          <cell r="B558" t="str">
            <v>PM 174</v>
          </cell>
        </row>
        <row r="559">
          <cell r="A559">
            <v>28646</v>
          </cell>
          <cell r="B559" t="str">
            <v>PM 174</v>
          </cell>
        </row>
        <row r="560">
          <cell r="A560">
            <v>28647</v>
          </cell>
          <cell r="B560" t="str">
            <v>PM 174</v>
          </cell>
        </row>
        <row r="561">
          <cell r="A561">
            <v>28648</v>
          </cell>
          <cell r="B561" t="str">
            <v>PM 174</v>
          </cell>
        </row>
        <row r="562">
          <cell r="A562">
            <v>28649</v>
          </cell>
          <cell r="B562" t="str">
            <v>PM 174</v>
          </cell>
        </row>
        <row r="563">
          <cell r="A563">
            <v>28650</v>
          </cell>
          <cell r="B563" t="str">
            <v>PM 174</v>
          </cell>
        </row>
        <row r="564">
          <cell r="A564">
            <v>28651</v>
          </cell>
          <cell r="B564" t="str">
            <v>PM 174</v>
          </cell>
        </row>
        <row r="565">
          <cell r="A565">
            <v>28652</v>
          </cell>
          <cell r="B565" t="str">
            <v>PM 174</v>
          </cell>
        </row>
        <row r="566">
          <cell r="A566">
            <v>28653</v>
          </cell>
          <cell r="B566" t="str">
            <v>PM 174</v>
          </cell>
        </row>
        <row r="567">
          <cell r="A567">
            <v>28654</v>
          </cell>
          <cell r="B567" t="str">
            <v>PM 174</v>
          </cell>
        </row>
        <row r="568">
          <cell r="A568">
            <v>28655</v>
          </cell>
          <cell r="B568" t="str">
            <v>PM 174</v>
          </cell>
        </row>
        <row r="569">
          <cell r="A569">
            <v>28656</v>
          </cell>
          <cell r="B569" t="str">
            <v>PM 174</v>
          </cell>
        </row>
        <row r="570">
          <cell r="A570">
            <v>28657</v>
          </cell>
          <cell r="B570" t="str">
            <v>PM 174</v>
          </cell>
        </row>
        <row r="571">
          <cell r="A571">
            <v>28658</v>
          </cell>
          <cell r="B571" t="str">
            <v>PM 174</v>
          </cell>
        </row>
        <row r="572">
          <cell r="A572">
            <v>28659</v>
          </cell>
          <cell r="B572" t="str">
            <v>PM 174</v>
          </cell>
        </row>
        <row r="573">
          <cell r="A573">
            <v>28660</v>
          </cell>
          <cell r="B573" t="str">
            <v>PM 174</v>
          </cell>
        </row>
        <row r="574">
          <cell r="A574">
            <v>28661</v>
          </cell>
          <cell r="B574" t="str">
            <v>PM 174</v>
          </cell>
        </row>
        <row r="575">
          <cell r="A575">
            <v>28662</v>
          </cell>
          <cell r="B575" t="str">
            <v>PM 174</v>
          </cell>
        </row>
        <row r="576">
          <cell r="A576">
            <v>28663</v>
          </cell>
          <cell r="B576" t="str">
            <v>PM 174</v>
          </cell>
        </row>
        <row r="577">
          <cell r="A577">
            <v>28664</v>
          </cell>
          <cell r="B577" t="str">
            <v>PM 174</v>
          </cell>
        </row>
        <row r="578">
          <cell r="A578">
            <v>28665</v>
          </cell>
          <cell r="B578" t="str">
            <v>PM 174</v>
          </cell>
        </row>
        <row r="579">
          <cell r="A579">
            <v>28666</v>
          </cell>
          <cell r="B579" t="str">
            <v>PM 174</v>
          </cell>
        </row>
        <row r="580">
          <cell r="A580">
            <v>28667</v>
          </cell>
          <cell r="B580" t="str">
            <v>PM 174</v>
          </cell>
        </row>
        <row r="581">
          <cell r="A581">
            <v>28668</v>
          </cell>
          <cell r="B581" t="str">
            <v>PM 174</v>
          </cell>
        </row>
        <row r="582">
          <cell r="A582">
            <v>28669</v>
          </cell>
          <cell r="B582" t="str">
            <v>PM 174</v>
          </cell>
        </row>
        <row r="583">
          <cell r="A583">
            <v>28670</v>
          </cell>
          <cell r="B583" t="str">
            <v>PM 174</v>
          </cell>
        </row>
        <row r="584">
          <cell r="A584">
            <v>28671</v>
          </cell>
          <cell r="B584" t="str">
            <v>PM 174</v>
          </cell>
        </row>
        <row r="585">
          <cell r="A585">
            <v>28672</v>
          </cell>
          <cell r="B585" t="str">
            <v>PM 174</v>
          </cell>
        </row>
        <row r="586">
          <cell r="A586">
            <v>28673</v>
          </cell>
          <cell r="B586" t="str">
            <v>PM 174</v>
          </cell>
        </row>
        <row r="587">
          <cell r="A587">
            <v>28674</v>
          </cell>
          <cell r="B587" t="str">
            <v>PM 174</v>
          </cell>
        </row>
        <row r="588">
          <cell r="A588">
            <v>28675</v>
          </cell>
          <cell r="B588" t="str">
            <v>PM 174</v>
          </cell>
        </row>
        <row r="589">
          <cell r="A589">
            <v>28676</v>
          </cell>
          <cell r="B589" t="str">
            <v>PM 174</v>
          </cell>
        </row>
        <row r="590">
          <cell r="A590">
            <v>28677</v>
          </cell>
          <cell r="B590" t="str">
            <v>PM 174</v>
          </cell>
        </row>
        <row r="591">
          <cell r="A591">
            <v>29614</v>
          </cell>
          <cell r="B591" t="str">
            <v>PM 174</v>
          </cell>
        </row>
        <row r="592">
          <cell r="A592">
            <v>29615</v>
          </cell>
          <cell r="B592" t="str">
            <v>PM 174</v>
          </cell>
        </row>
        <row r="593">
          <cell r="A593">
            <v>29616</v>
          </cell>
          <cell r="B593" t="str">
            <v>PM 174</v>
          </cell>
        </row>
        <row r="594">
          <cell r="A594">
            <v>29630</v>
          </cell>
          <cell r="B594" t="str">
            <v>PM 174</v>
          </cell>
        </row>
        <row r="595">
          <cell r="A595">
            <v>29631</v>
          </cell>
          <cell r="B595" t="str">
            <v>PM 174</v>
          </cell>
        </row>
        <row r="596">
          <cell r="A596">
            <v>29632</v>
          </cell>
          <cell r="B596" t="str">
            <v>PM 174</v>
          </cell>
        </row>
        <row r="597">
          <cell r="A597">
            <v>29633</v>
          </cell>
          <cell r="B597" t="str">
            <v>PM 174</v>
          </cell>
        </row>
        <row r="598">
          <cell r="A598">
            <v>29736</v>
          </cell>
          <cell r="B598" t="str">
            <v>PM 174</v>
          </cell>
        </row>
        <row r="599">
          <cell r="A599">
            <v>29737</v>
          </cell>
          <cell r="B599" t="str">
            <v>PM 174</v>
          </cell>
        </row>
        <row r="600">
          <cell r="A600">
            <v>29738</v>
          </cell>
          <cell r="B600" t="str">
            <v>PM 174</v>
          </cell>
        </row>
        <row r="601">
          <cell r="A601">
            <v>29739</v>
          </cell>
          <cell r="B601" t="str">
            <v>PM 174</v>
          </cell>
        </row>
        <row r="602">
          <cell r="A602">
            <v>29740</v>
          </cell>
          <cell r="B602" t="str">
            <v>PM 174</v>
          </cell>
        </row>
        <row r="603">
          <cell r="A603">
            <v>29769</v>
          </cell>
          <cell r="B603" t="str">
            <v>PM 174</v>
          </cell>
        </row>
        <row r="604">
          <cell r="A604">
            <v>29770</v>
          </cell>
          <cell r="B604" t="str">
            <v>PM 174</v>
          </cell>
        </row>
        <row r="605">
          <cell r="A605">
            <v>30690</v>
          </cell>
          <cell r="B605" t="str">
            <v>PM 174</v>
          </cell>
        </row>
        <row r="606">
          <cell r="A606">
            <v>30691</v>
          </cell>
          <cell r="B606" t="str">
            <v>PM 174</v>
          </cell>
        </row>
        <row r="607">
          <cell r="A607">
            <v>30721</v>
          </cell>
          <cell r="B607" t="str">
            <v>PM 174</v>
          </cell>
        </row>
        <row r="608">
          <cell r="A608">
            <v>30722</v>
          </cell>
          <cell r="B608" t="str">
            <v>PM 174</v>
          </cell>
        </row>
        <row r="609">
          <cell r="A609">
            <v>32616</v>
          </cell>
          <cell r="B609" t="str">
            <v>PM 174</v>
          </cell>
        </row>
        <row r="610">
          <cell r="A610">
            <v>33627</v>
          </cell>
          <cell r="B610" t="str">
            <v>PM 174</v>
          </cell>
        </row>
        <row r="611">
          <cell r="A611">
            <v>33628</v>
          </cell>
          <cell r="B611" t="str">
            <v>PM 174</v>
          </cell>
        </row>
        <row r="612">
          <cell r="A612">
            <v>33681</v>
          </cell>
          <cell r="B612" t="str">
            <v>PM 174</v>
          </cell>
        </row>
        <row r="613">
          <cell r="A613">
            <v>34076</v>
          </cell>
          <cell r="B613" t="str">
            <v>PM 174</v>
          </cell>
        </row>
        <row r="614">
          <cell r="A614">
            <v>35651</v>
          </cell>
          <cell r="B614" t="str">
            <v>PM 174</v>
          </cell>
        </row>
        <row r="615">
          <cell r="A615">
            <v>35653</v>
          </cell>
          <cell r="B615" t="str">
            <v>PM 174</v>
          </cell>
        </row>
        <row r="616">
          <cell r="A616">
            <v>35654</v>
          </cell>
          <cell r="B616" t="str">
            <v>PM 174</v>
          </cell>
        </row>
        <row r="617">
          <cell r="A617">
            <v>35655</v>
          </cell>
          <cell r="B617" t="str">
            <v>PM 174</v>
          </cell>
        </row>
        <row r="618">
          <cell r="A618">
            <v>35656</v>
          </cell>
          <cell r="B618" t="str">
            <v>PM 174</v>
          </cell>
        </row>
        <row r="619">
          <cell r="A619">
            <v>35657</v>
          </cell>
          <cell r="B619" t="str">
            <v>PM 174</v>
          </cell>
        </row>
        <row r="620">
          <cell r="A620">
            <v>35658</v>
          </cell>
          <cell r="B620" t="str">
            <v>PM 174</v>
          </cell>
        </row>
        <row r="621">
          <cell r="A621">
            <v>35659</v>
          </cell>
          <cell r="B621" t="str">
            <v>PM 174</v>
          </cell>
        </row>
        <row r="622">
          <cell r="A622">
            <v>35660</v>
          </cell>
          <cell r="B622" t="str">
            <v>PM 174</v>
          </cell>
        </row>
        <row r="623">
          <cell r="A623">
            <v>35661</v>
          </cell>
          <cell r="B623" t="str">
            <v>PM 174</v>
          </cell>
        </row>
        <row r="624">
          <cell r="A624">
            <v>35662</v>
          </cell>
          <cell r="B624" t="str">
            <v>PM 174</v>
          </cell>
        </row>
        <row r="625">
          <cell r="A625">
            <v>35663</v>
          </cell>
          <cell r="B625" t="str">
            <v>PM 174</v>
          </cell>
        </row>
        <row r="626">
          <cell r="A626">
            <v>35664</v>
          </cell>
          <cell r="B626" t="str">
            <v>PM 174</v>
          </cell>
        </row>
        <row r="627">
          <cell r="A627">
            <v>35665</v>
          </cell>
          <cell r="B627" t="str">
            <v>PM 174</v>
          </cell>
        </row>
        <row r="628">
          <cell r="A628">
            <v>35666</v>
          </cell>
          <cell r="B628" t="str">
            <v>PM 174</v>
          </cell>
        </row>
        <row r="629">
          <cell r="A629">
            <v>35667</v>
          </cell>
          <cell r="B629" t="str">
            <v>PM 174</v>
          </cell>
        </row>
        <row r="630">
          <cell r="A630">
            <v>35692</v>
          </cell>
          <cell r="B630" t="str">
            <v>PM 174</v>
          </cell>
        </row>
        <row r="631">
          <cell r="A631">
            <v>35693</v>
          </cell>
          <cell r="B631" t="str">
            <v>PM 174</v>
          </cell>
        </row>
        <row r="632">
          <cell r="A632">
            <v>35694</v>
          </cell>
          <cell r="B632" t="str">
            <v>PM 174</v>
          </cell>
        </row>
        <row r="633">
          <cell r="A633">
            <v>35695</v>
          </cell>
          <cell r="B633" t="str">
            <v>PM 174</v>
          </cell>
        </row>
        <row r="634">
          <cell r="A634">
            <v>35696</v>
          </cell>
          <cell r="B634" t="str">
            <v>PM 174</v>
          </cell>
        </row>
        <row r="635">
          <cell r="A635">
            <v>35697</v>
          </cell>
          <cell r="B635" t="str">
            <v>PM 174</v>
          </cell>
        </row>
        <row r="636">
          <cell r="A636">
            <v>35698</v>
          </cell>
          <cell r="B636" t="str">
            <v>PM 174</v>
          </cell>
        </row>
        <row r="637">
          <cell r="A637">
            <v>35699</v>
          </cell>
          <cell r="B637" t="str">
            <v>PM 174</v>
          </cell>
        </row>
        <row r="638">
          <cell r="A638">
            <v>35700</v>
          </cell>
          <cell r="B638" t="str">
            <v>PM 174</v>
          </cell>
        </row>
        <row r="639">
          <cell r="A639">
            <v>35701</v>
          </cell>
          <cell r="B639" t="str">
            <v>PM 174</v>
          </cell>
        </row>
        <row r="640">
          <cell r="A640">
            <v>36697</v>
          </cell>
          <cell r="B640" t="str">
            <v>PM 174</v>
          </cell>
        </row>
        <row r="641">
          <cell r="A641">
            <v>36698</v>
          </cell>
          <cell r="B641" t="str">
            <v>PM 174</v>
          </cell>
        </row>
        <row r="642">
          <cell r="A642">
            <v>36699</v>
          </cell>
          <cell r="B642" t="str">
            <v>PM 174</v>
          </cell>
        </row>
        <row r="643">
          <cell r="A643">
            <v>36700</v>
          </cell>
          <cell r="B643" t="str">
            <v>PM 174</v>
          </cell>
        </row>
        <row r="644">
          <cell r="A644">
            <v>36701</v>
          </cell>
          <cell r="B644" t="str">
            <v>PM 174</v>
          </cell>
        </row>
        <row r="645">
          <cell r="A645">
            <v>36702</v>
          </cell>
          <cell r="B645" t="str">
            <v>PM 174</v>
          </cell>
        </row>
        <row r="646">
          <cell r="A646">
            <v>36703</v>
          </cell>
          <cell r="B646" t="str">
            <v>PM 174</v>
          </cell>
        </row>
        <row r="647">
          <cell r="A647">
            <v>36704</v>
          </cell>
          <cell r="B647" t="str">
            <v>PM 174</v>
          </cell>
        </row>
        <row r="648">
          <cell r="A648">
            <v>36705</v>
          </cell>
          <cell r="B648" t="str">
            <v>PM 174</v>
          </cell>
        </row>
        <row r="649">
          <cell r="A649">
            <v>36706</v>
          </cell>
          <cell r="B649" t="str">
            <v>PM 174</v>
          </cell>
        </row>
        <row r="650">
          <cell r="A650">
            <v>36707</v>
          </cell>
          <cell r="B650" t="str">
            <v>PM 174</v>
          </cell>
        </row>
        <row r="651">
          <cell r="A651">
            <v>36708</v>
          </cell>
          <cell r="B651" t="str">
            <v>PM 174</v>
          </cell>
        </row>
        <row r="652">
          <cell r="A652">
            <v>36709</v>
          </cell>
          <cell r="B652" t="str">
            <v>PM 174</v>
          </cell>
        </row>
        <row r="653">
          <cell r="A653">
            <v>36710</v>
          </cell>
          <cell r="B653" t="str">
            <v>PM 174</v>
          </cell>
        </row>
        <row r="654">
          <cell r="A654">
            <v>36711</v>
          </cell>
          <cell r="B654" t="str">
            <v>PM 174</v>
          </cell>
        </row>
        <row r="655">
          <cell r="A655">
            <v>36712</v>
          </cell>
          <cell r="B655" t="str">
            <v>PM 174</v>
          </cell>
        </row>
        <row r="656">
          <cell r="A656">
            <v>36713</v>
          </cell>
          <cell r="B656" t="str">
            <v>PM 174</v>
          </cell>
        </row>
        <row r="657">
          <cell r="A657">
            <v>36714</v>
          </cell>
          <cell r="B657" t="str">
            <v>PM 174</v>
          </cell>
        </row>
        <row r="658">
          <cell r="A658">
            <v>36715</v>
          </cell>
          <cell r="B658" t="str">
            <v>PM 174</v>
          </cell>
        </row>
        <row r="659">
          <cell r="A659">
            <v>36716</v>
          </cell>
          <cell r="B659" t="str">
            <v>PM 174</v>
          </cell>
        </row>
        <row r="660">
          <cell r="A660">
            <v>36717</v>
          </cell>
          <cell r="B660" t="str">
            <v>PM 174</v>
          </cell>
        </row>
        <row r="661">
          <cell r="A661">
            <v>36718</v>
          </cell>
          <cell r="B661" t="str">
            <v>PM 174</v>
          </cell>
        </row>
        <row r="662">
          <cell r="A662">
            <v>36719</v>
          </cell>
          <cell r="B662" t="str">
            <v>PM 174</v>
          </cell>
        </row>
        <row r="663">
          <cell r="A663">
            <v>36720</v>
          </cell>
          <cell r="B663" t="str">
            <v>PM 174</v>
          </cell>
        </row>
        <row r="664">
          <cell r="A664">
            <v>36721</v>
          </cell>
          <cell r="B664" t="str">
            <v>PM 174</v>
          </cell>
        </row>
        <row r="665">
          <cell r="A665">
            <v>36722</v>
          </cell>
          <cell r="B665" t="str">
            <v>PM 174</v>
          </cell>
        </row>
        <row r="666">
          <cell r="A666">
            <v>36723</v>
          </cell>
          <cell r="B666" t="str">
            <v>PM 174</v>
          </cell>
        </row>
        <row r="667">
          <cell r="A667">
            <v>36724</v>
          </cell>
          <cell r="B667" t="str">
            <v>PM 174</v>
          </cell>
        </row>
        <row r="668">
          <cell r="A668">
            <v>36725</v>
          </cell>
          <cell r="B668" t="str">
            <v>PM 174</v>
          </cell>
        </row>
        <row r="669">
          <cell r="A669">
            <v>36726</v>
          </cell>
          <cell r="B669" t="str">
            <v>PM 174</v>
          </cell>
        </row>
        <row r="670">
          <cell r="A670">
            <v>36727</v>
          </cell>
          <cell r="B670" t="str">
            <v>PM 174</v>
          </cell>
        </row>
        <row r="671">
          <cell r="A671">
            <v>36728</v>
          </cell>
          <cell r="B671" t="str">
            <v>PM 174</v>
          </cell>
        </row>
        <row r="672">
          <cell r="A672">
            <v>36729</v>
          </cell>
          <cell r="B672" t="str">
            <v>PM 174</v>
          </cell>
        </row>
        <row r="673">
          <cell r="A673">
            <v>36730</v>
          </cell>
          <cell r="B673" t="str">
            <v>PM 174</v>
          </cell>
        </row>
        <row r="674">
          <cell r="A674">
            <v>36731</v>
          </cell>
          <cell r="B674" t="str">
            <v>PM 174</v>
          </cell>
        </row>
        <row r="675">
          <cell r="A675">
            <v>36732</v>
          </cell>
          <cell r="B675" t="str">
            <v>PM 174</v>
          </cell>
        </row>
        <row r="676">
          <cell r="A676">
            <v>36733</v>
          </cell>
          <cell r="B676" t="str">
            <v>PM 174</v>
          </cell>
        </row>
        <row r="677">
          <cell r="A677">
            <v>36734</v>
          </cell>
          <cell r="B677" t="str">
            <v>PM 174</v>
          </cell>
        </row>
        <row r="678">
          <cell r="A678">
            <v>36735</v>
          </cell>
          <cell r="B678" t="str">
            <v>PM 174</v>
          </cell>
        </row>
        <row r="679">
          <cell r="A679">
            <v>36736</v>
          </cell>
          <cell r="B679" t="str">
            <v>PM 174</v>
          </cell>
        </row>
        <row r="680">
          <cell r="A680">
            <v>36737</v>
          </cell>
          <cell r="B680" t="str">
            <v>PM 174</v>
          </cell>
        </row>
        <row r="681">
          <cell r="A681">
            <v>36738</v>
          </cell>
          <cell r="B681" t="str">
            <v>PM 174</v>
          </cell>
        </row>
        <row r="682">
          <cell r="A682">
            <v>36739</v>
          </cell>
          <cell r="B682" t="str">
            <v>PM 174</v>
          </cell>
        </row>
        <row r="683">
          <cell r="A683">
            <v>36740</v>
          </cell>
          <cell r="B683" t="str">
            <v>PM 174</v>
          </cell>
        </row>
        <row r="684">
          <cell r="A684">
            <v>36741</v>
          </cell>
          <cell r="B684" t="str">
            <v>PM 174</v>
          </cell>
        </row>
        <row r="685">
          <cell r="A685">
            <v>36742</v>
          </cell>
          <cell r="B685" t="str">
            <v>PM 174</v>
          </cell>
        </row>
        <row r="686">
          <cell r="A686">
            <v>36743</v>
          </cell>
          <cell r="B686" t="str">
            <v>PM 174</v>
          </cell>
        </row>
        <row r="687">
          <cell r="A687">
            <v>36744</v>
          </cell>
          <cell r="B687" t="str">
            <v>PM 174</v>
          </cell>
        </row>
        <row r="688">
          <cell r="A688">
            <v>36745</v>
          </cell>
          <cell r="B688" t="str">
            <v>PM 174</v>
          </cell>
        </row>
        <row r="689">
          <cell r="A689">
            <v>36746</v>
          </cell>
          <cell r="B689" t="str">
            <v>PM 174</v>
          </cell>
        </row>
        <row r="690">
          <cell r="A690">
            <v>36747</v>
          </cell>
          <cell r="B690" t="str">
            <v>PM 174</v>
          </cell>
        </row>
        <row r="691">
          <cell r="A691">
            <v>36748</v>
          </cell>
          <cell r="B691" t="str">
            <v>PM 174</v>
          </cell>
        </row>
        <row r="692">
          <cell r="A692">
            <v>36749</v>
          </cell>
          <cell r="B692" t="str">
            <v>PM 174</v>
          </cell>
        </row>
        <row r="693">
          <cell r="A693">
            <v>36750</v>
          </cell>
          <cell r="B693" t="str">
            <v>PM 174</v>
          </cell>
        </row>
        <row r="694">
          <cell r="A694">
            <v>36751</v>
          </cell>
          <cell r="B694" t="str">
            <v>PM 174</v>
          </cell>
        </row>
        <row r="695">
          <cell r="A695">
            <v>36752</v>
          </cell>
          <cell r="B695" t="str">
            <v>PM 174</v>
          </cell>
        </row>
        <row r="696">
          <cell r="A696">
            <v>36753</v>
          </cell>
          <cell r="B696" t="str">
            <v>PM 174</v>
          </cell>
        </row>
        <row r="697">
          <cell r="A697">
            <v>36754</v>
          </cell>
          <cell r="B697" t="str">
            <v>PM 174</v>
          </cell>
        </row>
        <row r="698">
          <cell r="A698">
            <v>36755</v>
          </cell>
          <cell r="B698" t="str">
            <v>PM 174</v>
          </cell>
        </row>
        <row r="699">
          <cell r="A699">
            <v>36756</v>
          </cell>
          <cell r="B699" t="str">
            <v>PM 174</v>
          </cell>
        </row>
        <row r="700">
          <cell r="A700">
            <v>36757</v>
          </cell>
          <cell r="B700" t="str">
            <v>PM 174</v>
          </cell>
        </row>
        <row r="701">
          <cell r="A701">
            <v>36758</v>
          </cell>
          <cell r="B701" t="str">
            <v>PM 174</v>
          </cell>
        </row>
        <row r="702">
          <cell r="A702">
            <v>36759</v>
          </cell>
          <cell r="B702" t="str">
            <v>PM 174</v>
          </cell>
        </row>
        <row r="703">
          <cell r="A703">
            <v>36760</v>
          </cell>
          <cell r="B703" t="str">
            <v>PM 174</v>
          </cell>
        </row>
        <row r="704">
          <cell r="A704">
            <v>36761</v>
          </cell>
          <cell r="B704" t="str">
            <v>PM 174</v>
          </cell>
        </row>
        <row r="705">
          <cell r="A705">
            <v>36762</v>
          </cell>
          <cell r="B705" t="str">
            <v>PM 174</v>
          </cell>
        </row>
        <row r="706">
          <cell r="A706">
            <v>36763</v>
          </cell>
          <cell r="B706" t="str">
            <v>PM 174</v>
          </cell>
        </row>
        <row r="707">
          <cell r="A707">
            <v>36764</v>
          </cell>
          <cell r="B707" t="str">
            <v>PM 174</v>
          </cell>
        </row>
        <row r="708">
          <cell r="A708">
            <v>36765</v>
          </cell>
          <cell r="B708" t="str">
            <v>PM 174</v>
          </cell>
        </row>
        <row r="709">
          <cell r="A709">
            <v>36766</v>
          </cell>
          <cell r="B709" t="str">
            <v>PM 174</v>
          </cell>
        </row>
        <row r="710">
          <cell r="A710">
            <v>36767</v>
          </cell>
          <cell r="B710" t="str">
            <v>PM 174</v>
          </cell>
        </row>
        <row r="711">
          <cell r="A711">
            <v>36768</v>
          </cell>
          <cell r="B711" t="str">
            <v>PM 174</v>
          </cell>
        </row>
        <row r="712">
          <cell r="A712">
            <v>36769</v>
          </cell>
          <cell r="B712" t="str">
            <v>PM 174</v>
          </cell>
        </row>
        <row r="713">
          <cell r="A713">
            <v>36770</v>
          </cell>
          <cell r="B713" t="str">
            <v>PM 174</v>
          </cell>
        </row>
        <row r="714">
          <cell r="A714">
            <v>36771</v>
          </cell>
          <cell r="B714" t="str">
            <v>PM 174</v>
          </cell>
        </row>
        <row r="715">
          <cell r="A715">
            <v>36772</v>
          </cell>
          <cell r="B715" t="str">
            <v>PM 174</v>
          </cell>
        </row>
        <row r="716">
          <cell r="A716">
            <v>36773</v>
          </cell>
          <cell r="B716" t="str">
            <v>PM 174</v>
          </cell>
        </row>
        <row r="717">
          <cell r="A717">
            <v>36774</v>
          </cell>
          <cell r="B717" t="str">
            <v>PM 174</v>
          </cell>
        </row>
        <row r="718">
          <cell r="A718">
            <v>36775</v>
          </cell>
          <cell r="B718" t="str">
            <v>PM 174</v>
          </cell>
        </row>
        <row r="719">
          <cell r="A719">
            <v>36776</v>
          </cell>
          <cell r="B719" t="str">
            <v>PM 174</v>
          </cell>
        </row>
        <row r="720">
          <cell r="A720">
            <v>36804</v>
          </cell>
          <cell r="B720" t="str">
            <v>PM 174</v>
          </cell>
        </row>
        <row r="721">
          <cell r="A721">
            <v>36805</v>
          </cell>
          <cell r="B721" t="str">
            <v>PM 174</v>
          </cell>
        </row>
        <row r="722">
          <cell r="A722">
            <v>36806</v>
          </cell>
          <cell r="B722" t="str">
            <v>PM 174</v>
          </cell>
        </row>
        <row r="723">
          <cell r="A723">
            <v>36807</v>
          </cell>
          <cell r="B723" t="str">
            <v>PM 174</v>
          </cell>
        </row>
        <row r="724">
          <cell r="A724">
            <v>38627</v>
          </cell>
          <cell r="B724" t="str">
            <v>PM 174</v>
          </cell>
        </row>
        <row r="725">
          <cell r="A725">
            <v>38628</v>
          </cell>
          <cell r="B725" t="str">
            <v>PM 174</v>
          </cell>
        </row>
        <row r="726">
          <cell r="A726">
            <v>40585</v>
          </cell>
          <cell r="B726" t="str">
            <v>PM 174</v>
          </cell>
        </row>
        <row r="727">
          <cell r="A727">
            <v>40586</v>
          </cell>
          <cell r="B727" t="str">
            <v>PM 174</v>
          </cell>
        </row>
        <row r="728">
          <cell r="A728">
            <v>40587</v>
          </cell>
          <cell r="B728" t="str">
            <v>PM 174</v>
          </cell>
        </row>
        <row r="729">
          <cell r="A729">
            <v>40588</v>
          </cell>
          <cell r="B729" t="str">
            <v>PM 174</v>
          </cell>
        </row>
        <row r="730">
          <cell r="A730">
            <v>40589</v>
          </cell>
          <cell r="B730" t="str">
            <v>PM 174</v>
          </cell>
        </row>
        <row r="731">
          <cell r="A731">
            <v>40590</v>
          </cell>
          <cell r="B731" t="str">
            <v>PM 174</v>
          </cell>
        </row>
        <row r="732">
          <cell r="A732">
            <v>40591</v>
          </cell>
          <cell r="B732" t="str">
            <v>PM 174</v>
          </cell>
        </row>
        <row r="733">
          <cell r="A733">
            <v>40592</v>
          </cell>
          <cell r="B733" t="str">
            <v>PM 174</v>
          </cell>
        </row>
        <row r="734">
          <cell r="A734">
            <v>40593</v>
          </cell>
          <cell r="B734" t="str">
            <v>PM 174</v>
          </cell>
        </row>
        <row r="735">
          <cell r="A735">
            <v>40594</v>
          </cell>
          <cell r="B735" t="str">
            <v>PM 174</v>
          </cell>
        </row>
        <row r="736">
          <cell r="A736">
            <v>40595</v>
          </cell>
          <cell r="B736" t="str">
            <v>PM 174</v>
          </cell>
        </row>
        <row r="737">
          <cell r="A737">
            <v>40596</v>
          </cell>
          <cell r="B737" t="str">
            <v>PM 174</v>
          </cell>
        </row>
        <row r="738">
          <cell r="A738">
            <v>40597</v>
          </cell>
          <cell r="B738" t="str">
            <v>PM 174</v>
          </cell>
        </row>
        <row r="739">
          <cell r="A739">
            <v>40598</v>
          </cell>
          <cell r="B739" t="str">
            <v>PM 174</v>
          </cell>
        </row>
        <row r="740">
          <cell r="A740">
            <v>40599</v>
          </cell>
          <cell r="B740" t="str">
            <v>PM 174</v>
          </cell>
        </row>
        <row r="741">
          <cell r="A741">
            <v>40600</v>
          </cell>
          <cell r="B741" t="str">
            <v>PM 174</v>
          </cell>
        </row>
        <row r="742">
          <cell r="A742">
            <v>40601</v>
          </cell>
          <cell r="B742" t="str">
            <v>PM 174</v>
          </cell>
        </row>
        <row r="743">
          <cell r="A743">
            <v>40602</v>
          </cell>
          <cell r="B743" t="str">
            <v>PM 174</v>
          </cell>
        </row>
        <row r="744">
          <cell r="A744">
            <v>40603</v>
          </cell>
          <cell r="B744" t="str">
            <v>PM 174</v>
          </cell>
        </row>
        <row r="745">
          <cell r="A745">
            <v>40604</v>
          </cell>
          <cell r="B745" t="str">
            <v>PM 174</v>
          </cell>
        </row>
        <row r="746">
          <cell r="A746">
            <v>40605</v>
          </cell>
          <cell r="B746" t="str">
            <v>PM 174</v>
          </cell>
        </row>
        <row r="747">
          <cell r="A747">
            <v>40606</v>
          </cell>
          <cell r="B747" t="str">
            <v>PM 174</v>
          </cell>
        </row>
        <row r="748">
          <cell r="A748">
            <v>40607</v>
          </cell>
          <cell r="B748" t="str">
            <v>PM 174</v>
          </cell>
        </row>
        <row r="749">
          <cell r="A749">
            <v>40639</v>
          </cell>
          <cell r="B749" t="str">
            <v>PM 174</v>
          </cell>
        </row>
        <row r="750">
          <cell r="A750">
            <v>40648</v>
          </cell>
          <cell r="B750" t="str">
            <v>PM 174</v>
          </cell>
        </row>
        <row r="751">
          <cell r="A751">
            <v>40649</v>
          </cell>
          <cell r="B751" t="str">
            <v>PM 174</v>
          </cell>
        </row>
        <row r="752">
          <cell r="A752">
            <v>40650</v>
          </cell>
          <cell r="B752" t="str">
            <v>PM 174</v>
          </cell>
        </row>
        <row r="753">
          <cell r="A753">
            <v>41632</v>
          </cell>
          <cell r="B753" t="str">
            <v>PM 174</v>
          </cell>
        </row>
        <row r="754">
          <cell r="A754">
            <v>41633</v>
          </cell>
          <cell r="B754" t="str">
            <v>PM 174</v>
          </cell>
        </row>
        <row r="755">
          <cell r="A755">
            <v>41634</v>
          </cell>
          <cell r="B755" t="str">
            <v>PM 174</v>
          </cell>
        </row>
        <row r="756">
          <cell r="A756">
            <v>42482</v>
          </cell>
          <cell r="B756" t="str">
            <v>PM 174</v>
          </cell>
        </row>
        <row r="757">
          <cell r="A757">
            <v>42483</v>
          </cell>
          <cell r="B757" t="str">
            <v>PM 174</v>
          </cell>
        </row>
        <row r="758">
          <cell r="A758">
            <v>42484</v>
          </cell>
          <cell r="B758" t="str">
            <v>PM 174</v>
          </cell>
        </row>
        <row r="759">
          <cell r="A759">
            <v>42485</v>
          </cell>
          <cell r="B759" t="str">
            <v>PM 174</v>
          </cell>
        </row>
        <row r="760">
          <cell r="A760">
            <v>42486</v>
          </cell>
          <cell r="B760" t="str">
            <v>PM 174</v>
          </cell>
        </row>
        <row r="761">
          <cell r="A761">
            <v>42487</v>
          </cell>
          <cell r="B761" t="str">
            <v>PM 174</v>
          </cell>
        </row>
        <row r="762">
          <cell r="A762">
            <v>42488</v>
          </cell>
          <cell r="B762" t="str">
            <v>PM 174</v>
          </cell>
        </row>
        <row r="763">
          <cell r="A763">
            <v>42489</v>
          </cell>
          <cell r="B763" t="str">
            <v>PM 174</v>
          </cell>
        </row>
        <row r="764">
          <cell r="A764">
            <v>42510</v>
          </cell>
          <cell r="B764" t="str">
            <v>PM 174</v>
          </cell>
        </row>
        <row r="765">
          <cell r="A765">
            <v>42522</v>
          </cell>
          <cell r="B765" t="str">
            <v>PM 174</v>
          </cell>
        </row>
        <row r="766">
          <cell r="A766">
            <v>42523</v>
          </cell>
          <cell r="B766" t="str">
            <v>PM 174</v>
          </cell>
        </row>
        <row r="767">
          <cell r="A767">
            <v>42524</v>
          </cell>
          <cell r="B767" t="str">
            <v>PM 174</v>
          </cell>
        </row>
        <row r="768">
          <cell r="A768">
            <v>42525</v>
          </cell>
          <cell r="B768" t="str">
            <v>PM 174</v>
          </cell>
        </row>
        <row r="769">
          <cell r="A769">
            <v>42526</v>
          </cell>
          <cell r="B769" t="str">
            <v>PM 174</v>
          </cell>
        </row>
        <row r="770">
          <cell r="A770">
            <v>42527</v>
          </cell>
          <cell r="B770" t="str">
            <v>PM 174</v>
          </cell>
        </row>
        <row r="771">
          <cell r="A771">
            <v>42528</v>
          </cell>
          <cell r="B771" t="str">
            <v>PM 174</v>
          </cell>
        </row>
        <row r="772">
          <cell r="A772">
            <v>42529</v>
          </cell>
          <cell r="B772" t="str">
            <v>PM 174</v>
          </cell>
        </row>
        <row r="773">
          <cell r="A773">
            <v>42530</v>
          </cell>
          <cell r="B773" t="str">
            <v>PM 174</v>
          </cell>
        </row>
        <row r="774">
          <cell r="A774">
            <v>42531</v>
          </cell>
          <cell r="B774" t="str">
            <v>PM 174</v>
          </cell>
        </row>
        <row r="775">
          <cell r="A775">
            <v>42532</v>
          </cell>
          <cell r="B775" t="str">
            <v>PM 174</v>
          </cell>
        </row>
        <row r="776">
          <cell r="A776">
            <v>42533</v>
          </cell>
          <cell r="B776" t="str">
            <v>PM 174</v>
          </cell>
        </row>
        <row r="777">
          <cell r="A777">
            <v>42534</v>
          </cell>
          <cell r="B777" t="str">
            <v>PM 174</v>
          </cell>
        </row>
        <row r="778">
          <cell r="A778">
            <v>42535</v>
          </cell>
          <cell r="B778" t="str">
            <v>PM 174</v>
          </cell>
        </row>
        <row r="779">
          <cell r="A779">
            <v>42536</v>
          </cell>
          <cell r="B779" t="str">
            <v>PM 174</v>
          </cell>
        </row>
        <row r="780">
          <cell r="A780">
            <v>42537</v>
          </cell>
          <cell r="B780" t="str">
            <v>PM 174</v>
          </cell>
        </row>
        <row r="781">
          <cell r="A781">
            <v>42538</v>
          </cell>
          <cell r="B781" t="str">
            <v>PM 174</v>
          </cell>
        </row>
        <row r="782">
          <cell r="A782">
            <v>42539</v>
          </cell>
          <cell r="B782" t="str">
            <v>PM 174</v>
          </cell>
        </row>
        <row r="783">
          <cell r="A783">
            <v>42540</v>
          </cell>
          <cell r="B783" t="str">
            <v>PM 174</v>
          </cell>
        </row>
        <row r="784">
          <cell r="A784">
            <v>42541</v>
          </cell>
          <cell r="B784" t="str">
            <v>PM 174</v>
          </cell>
        </row>
        <row r="785">
          <cell r="A785">
            <v>42542</v>
          </cell>
          <cell r="B785" t="str">
            <v>PM 174</v>
          </cell>
        </row>
        <row r="786">
          <cell r="A786">
            <v>42543</v>
          </cell>
          <cell r="B786" t="str">
            <v>PM 174</v>
          </cell>
        </row>
        <row r="787">
          <cell r="A787">
            <v>42544</v>
          </cell>
          <cell r="B787" t="str">
            <v>PM 174</v>
          </cell>
        </row>
        <row r="788">
          <cell r="A788">
            <v>42545</v>
          </cell>
          <cell r="B788" t="str">
            <v>PM 174</v>
          </cell>
        </row>
        <row r="789">
          <cell r="A789">
            <v>43495</v>
          </cell>
          <cell r="B789" t="str">
            <v>PM 174</v>
          </cell>
        </row>
        <row r="790">
          <cell r="A790">
            <v>43496</v>
          </cell>
          <cell r="B790" t="str">
            <v>PM 174</v>
          </cell>
        </row>
        <row r="791">
          <cell r="A791">
            <v>43497</v>
          </cell>
          <cell r="B791" t="str">
            <v>PM 174</v>
          </cell>
        </row>
        <row r="792">
          <cell r="A792">
            <v>43499</v>
          </cell>
          <cell r="B792" t="str">
            <v>PM 174</v>
          </cell>
        </row>
        <row r="793">
          <cell r="A793">
            <v>43500</v>
          </cell>
          <cell r="B793" t="str">
            <v>PM 174</v>
          </cell>
        </row>
        <row r="794">
          <cell r="A794">
            <v>43501</v>
          </cell>
          <cell r="B794" t="str">
            <v>PM 174</v>
          </cell>
        </row>
        <row r="795">
          <cell r="A795">
            <v>43502</v>
          </cell>
          <cell r="B795" t="str">
            <v>PM 174</v>
          </cell>
        </row>
        <row r="796">
          <cell r="A796">
            <v>43503</v>
          </cell>
          <cell r="B796" t="str">
            <v>PM 174</v>
          </cell>
        </row>
        <row r="797">
          <cell r="A797">
            <v>43504</v>
          </cell>
          <cell r="B797" t="str">
            <v>PM 174</v>
          </cell>
        </row>
        <row r="798">
          <cell r="A798">
            <v>43505</v>
          </cell>
          <cell r="B798" t="str">
            <v>PM 174</v>
          </cell>
        </row>
        <row r="799">
          <cell r="A799">
            <v>43506</v>
          </cell>
          <cell r="B799" t="str">
            <v>PM 174</v>
          </cell>
        </row>
        <row r="800">
          <cell r="A800">
            <v>43507</v>
          </cell>
          <cell r="B800" t="str">
            <v>PM 174</v>
          </cell>
        </row>
        <row r="801">
          <cell r="A801">
            <v>43508</v>
          </cell>
          <cell r="B801" t="str">
            <v>PM 174</v>
          </cell>
        </row>
        <row r="802">
          <cell r="A802">
            <v>43509</v>
          </cell>
          <cell r="B802" t="str">
            <v>PM 174</v>
          </cell>
        </row>
        <row r="803">
          <cell r="A803">
            <v>43510</v>
          </cell>
          <cell r="B803" t="str">
            <v>PM 174</v>
          </cell>
        </row>
        <row r="804">
          <cell r="A804">
            <v>43511</v>
          </cell>
          <cell r="B804" t="str">
            <v>PM 174</v>
          </cell>
        </row>
        <row r="805">
          <cell r="A805">
            <v>43512</v>
          </cell>
          <cell r="B805" t="str">
            <v>PM 174</v>
          </cell>
        </row>
        <row r="806">
          <cell r="A806">
            <v>43513</v>
          </cell>
          <cell r="B806" t="str">
            <v>PM 174</v>
          </cell>
        </row>
        <row r="807">
          <cell r="A807">
            <v>43514</v>
          </cell>
          <cell r="B807" t="str">
            <v>PM 174</v>
          </cell>
        </row>
        <row r="808">
          <cell r="A808">
            <v>44492</v>
          </cell>
          <cell r="B808" t="str">
            <v>PM 174</v>
          </cell>
        </row>
        <row r="809">
          <cell r="A809">
            <v>44493</v>
          </cell>
          <cell r="B809" t="str">
            <v>PM 174</v>
          </cell>
        </row>
        <row r="810">
          <cell r="A810">
            <v>44494</v>
          </cell>
          <cell r="B810" t="str">
            <v>PM 174</v>
          </cell>
        </row>
        <row r="811">
          <cell r="A811">
            <v>44495</v>
          </cell>
          <cell r="B811" t="str">
            <v>PM 174</v>
          </cell>
        </row>
        <row r="812">
          <cell r="A812">
            <v>44496</v>
          </cell>
          <cell r="B812" t="str">
            <v>PM 174</v>
          </cell>
        </row>
        <row r="813">
          <cell r="A813">
            <v>44497</v>
          </cell>
          <cell r="B813" t="str">
            <v>PM 174</v>
          </cell>
        </row>
        <row r="814">
          <cell r="A814">
            <v>44498</v>
          </cell>
          <cell r="B814" t="str">
            <v>PM 174</v>
          </cell>
        </row>
        <row r="815">
          <cell r="A815">
            <v>44499</v>
          </cell>
          <cell r="B815" t="str">
            <v>PM 174</v>
          </cell>
        </row>
        <row r="816">
          <cell r="A816">
            <v>44500</v>
          </cell>
          <cell r="B816" t="str">
            <v>PM 174</v>
          </cell>
        </row>
        <row r="817">
          <cell r="A817">
            <v>44501</v>
          </cell>
          <cell r="B817" t="str">
            <v>PM 174</v>
          </cell>
        </row>
        <row r="818">
          <cell r="A818">
            <v>44502</v>
          </cell>
          <cell r="B818" t="str">
            <v>PM 174</v>
          </cell>
        </row>
        <row r="819">
          <cell r="A819">
            <v>44503</v>
          </cell>
          <cell r="B819" t="str">
            <v>PM 174</v>
          </cell>
        </row>
        <row r="820">
          <cell r="A820">
            <v>44504</v>
          </cell>
          <cell r="B820" t="str">
            <v>PM 174</v>
          </cell>
        </row>
        <row r="821">
          <cell r="A821">
            <v>44505</v>
          </cell>
          <cell r="B821" t="str">
            <v>PM 174</v>
          </cell>
        </row>
        <row r="822">
          <cell r="A822">
            <v>44506</v>
          </cell>
          <cell r="B822" t="str">
            <v>PM 174</v>
          </cell>
        </row>
        <row r="823">
          <cell r="A823">
            <v>44507</v>
          </cell>
          <cell r="B823" t="str">
            <v>PM 174</v>
          </cell>
        </row>
        <row r="824">
          <cell r="A824">
            <v>44508</v>
          </cell>
          <cell r="B824" t="str">
            <v>PM 174</v>
          </cell>
        </row>
        <row r="825">
          <cell r="A825">
            <v>44509</v>
          </cell>
          <cell r="B825" t="str">
            <v>PM 174</v>
          </cell>
        </row>
        <row r="826">
          <cell r="A826">
            <v>44510</v>
          </cell>
          <cell r="B826" t="str">
            <v>PM 174</v>
          </cell>
        </row>
        <row r="827">
          <cell r="A827">
            <v>44511</v>
          </cell>
          <cell r="B827" t="str">
            <v>PM 174</v>
          </cell>
        </row>
        <row r="828">
          <cell r="A828">
            <v>44512</v>
          </cell>
          <cell r="B828" t="str">
            <v>PM 174</v>
          </cell>
        </row>
        <row r="829">
          <cell r="A829">
            <v>44513</v>
          </cell>
          <cell r="B829" t="str">
            <v>PM 174</v>
          </cell>
        </row>
        <row r="830">
          <cell r="A830">
            <v>44514</v>
          </cell>
          <cell r="B830" t="str">
            <v>PM 174</v>
          </cell>
        </row>
        <row r="831">
          <cell r="A831">
            <v>44515</v>
          </cell>
          <cell r="B831" t="str">
            <v>PM 174</v>
          </cell>
        </row>
        <row r="832">
          <cell r="A832">
            <v>44517</v>
          </cell>
          <cell r="B832" t="str">
            <v>PM 174</v>
          </cell>
        </row>
        <row r="833">
          <cell r="A833">
            <v>44518</v>
          </cell>
          <cell r="B833" t="str">
            <v>PM 174</v>
          </cell>
        </row>
        <row r="834">
          <cell r="A834">
            <v>44519</v>
          </cell>
          <cell r="B834" t="str">
            <v>PM 174</v>
          </cell>
        </row>
        <row r="835">
          <cell r="A835">
            <v>44520</v>
          </cell>
          <cell r="B835" t="str">
            <v>PM 174</v>
          </cell>
        </row>
        <row r="836">
          <cell r="A836">
            <v>44521</v>
          </cell>
          <cell r="B836" t="str">
            <v>PM 174</v>
          </cell>
        </row>
        <row r="837">
          <cell r="A837">
            <v>44522</v>
          </cell>
          <cell r="B837" t="str">
            <v>PM 174</v>
          </cell>
        </row>
        <row r="838">
          <cell r="A838">
            <v>44523</v>
          </cell>
          <cell r="B838" t="str">
            <v>PM 174</v>
          </cell>
        </row>
        <row r="839">
          <cell r="A839">
            <v>44524</v>
          </cell>
          <cell r="B839" t="str">
            <v>PM 174</v>
          </cell>
        </row>
        <row r="840">
          <cell r="A840">
            <v>44525</v>
          </cell>
          <cell r="B840" t="str">
            <v>PM 174</v>
          </cell>
        </row>
        <row r="841">
          <cell r="A841">
            <v>44526</v>
          </cell>
          <cell r="B841" t="str">
            <v>PM 174</v>
          </cell>
        </row>
        <row r="842">
          <cell r="A842">
            <v>46495</v>
          </cell>
          <cell r="B842" t="str">
            <v>PM 174</v>
          </cell>
        </row>
        <row r="843">
          <cell r="A843">
            <v>46496</v>
          </cell>
          <cell r="B843" t="str">
            <v>PM 174</v>
          </cell>
        </row>
        <row r="844">
          <cell r="A844">
            <v>46497</v>
          </cell>
          <cell r="B844" t="str">
            <v>PM 174</v>
          </cell>
        </row>
        <row r="845">
          <cell r="A845">
            <v>46498</v>
          </cell>
          <cell r="B845" t="str">
            <v>PM 174</v>
          </cell>
        </row>
        <row r="846">
          <cell r="A846">
            <v>46509</v>
          </cell>
          <cell r="B846" t="str">
            <v>PM 174</v>
          </cell>
        </row>
        <row r="847">
          <cell r="A847">
            <v>47488</v>
          </cell>
          <cell r="B847" t="str">
            <v>PM 174</v>
          </cell>
        </row>
        <row r="848">
          <cell r="A848">
            <v>47489</v>
          </cell>
          <cell r="B848" t="str">
            <v>PM 174</v>
          </cell>
        </row>
        <row r="849">
          <cell r="A849">
            <v>47490</v>
          </cell>
          <cell r="B849" t="str">
            <v>PM 174</v>
          </cell>
        </row>
        <row r="850">
          <cell r="A850">
            <v>47491</v>
          </cell>
          <cell r="B850" t="str">
            <v>PM 174</v>
          </cell>
        </row>
        <row r="851">
          <cell r="A851">
            <v>47492</v>
          </cell>
          <cell r="B851" t="str">
            <v>PM 174</v>
          </cell>
        </row>
        <row r="852">
          <cell r="A852">
            <v>47493</v>
          </cell>
          <cell r="B852" t="str">
            <v>PM 174</v>
          </cell>
        </row>
        <row r="853">
          <cell r="A853">
            <v>47494</v>
          </cell>
          <cell r="B853" t="str">
            <v>PM 174</v>
          </cell>
        </row>
        <row r="854">
          <cell r="A854">
            <v>47495</v>
          </cell>
          <cell r="B854" t="str">
            <v>PM 174</v>
          </cell>
        </row>
        <row r="855">
          <cell r="A855">
            <v>47496</v>
          </cell>
          <cell r="B855" t="str">
            <v>PM 174</v>
          </cell>
        </row>
        <row r="856">
          <cell r="A856">
            <v>47497</v>
          </cell>
          <cell r="B856" t="str">
            <v>PM 174</v>
          </cell>
        </row>
        <row r="857">
          <cell r="A857">
            <v>47499</v>
          </cell>
          <cell r="B857" t="str">
            <v>PM 174</v>
          </cell>
        </row>
        <row r="858">
          <cell r="A858">
            <v>47515</v>
          </cell>
          <cell r="B858" t="str">
            <v>PM 174</v>
          </cell>
        </row>
        <row r="859">
          <cell r="A859">
            <v>48477</v>
          </cell>
          <cell r="B859" t="str">
            <v>PM 174</v>
          </cell>
        </row>
        <row r="860">
          <cell r="A860">
            <v>48479</v>
          </cell>
          <cell r="B860" t="str">
            <v>PM 174</v>
          </cell>
        </row>
        <row r="861">
          <cell r="A861">
            <v>50513</v>
          </cell>
          <cell r="B861" t="str">
            <v>PM 174</v>
          </cell>
        </row>
        <row r="862">
          <cell r="A862">
            <v>50514</v>
          </cell>
          <cell r="B862" t="str">
            <v>PM 174</v>
          </cell>
        </row>
        <row r="863">
          <cell r="A863">
            <v>50516</v>
          </cell>
          <cell r="B863" t="str">
            <v>PM 174</v>
          </cell>
        </row>
        <row r="864">
          <cell r="A864">
            <v>52518</v>
          </cell>
          <cell r="B864" t="str">
            <v>PM 174</v>
          </cell>
        </row>
        <row r="865">
          <cell r="A865">
            <v>52519</v>
          </cell>
          <cell r="B865" t="str">
            <v>PM 174</v>
          </cell>
        </row>
        <row r="866">
          <cell r="A866">
            <v>52565</v>
          </cell>
          <cell r="B866" t="str">
            <v>PM 174</v>
          </cell>
        </row>
        <row r="867">
          <cell r="A867">
            <v>52566</v>
          </cell>
          <cell r="B867" t="str">
            <v>PM 174</v>
          </cell>
        </row>
        <row r="868">
          <cell r="A868">
            <v>52567</v>
          </cell>
          <cell r="B868" t="str">
            <v>PM 174</v>
          </cell>
        </row>
        <row r="869">
          <cell r="A869">
            <v>52568</v>
          </cell>
          <cell r="B869" t="str">
            <v>PM 174</v>
          </cell>
        </row>
        <row r="870">
          <cell r="A870">
            <v>52569</v>
          </cell>
          <cell r="B870" t="str">
            <v>PM 174</v>
          </cell>
        </row>
        <row r="871">
          <cell r="A871">
            <v>52570</v>
          </cell>
          <cell r="B871" t="str">
            <v>PM 174</v>
          </cell>
        </row>
        <row r="872">
          <cell r="A872">
            <v>52571</v>
          </cell>
          <cell r="B872" t="str">
            <v>PM 174</v>
          </cell>
        </row>
        <row r="873">
          <cell r="A873">
            <v>52572</v>
          </cell>
          <cell r="B873" t="str">
            <v>PM 174</v>
          </cell>
        </row>
        <row r="874">
          <cell r="A874">
            <v>52573</v>
          </cell>
          <cell r="B874" t="str">
            <v>PM 174</v>
          </cell>
        </row>
        <row r="875">
          <cell r="A875">
            <v>54488</v>
          </cell>
          <cell r="B875" t="str">
            <v>PM 174</v>
          </cell>
        </row>
        <row r="876">
          <cell r="A876">
            <v>54493</v>
          </cell>
          <cell r="B876" t="str">
            <v>PM 174</v>
          </cell>
        </row>
        <row r="877">
          <cell r="A877">
            <v>60559</v>
          </cell>
          <cell r="B877" t="str">
            <v>PM 174</v>
          </cell>
        </row>
        <row r="878">
          <cell r="A878">
            <v>60560</v>
          </cell>
          <cell r="B878" t="str">
            <v>PM 174</v>
          </cell>
        </row>
        <row r="879">
          <cell r="A879">
            <v>61598</v>
          </cell>
          <cell r="B879" t="str">
            <v>PM 174</v>
          </cell>
        </row>
        <row r="880">
          <cell r="A880">
            <v>61599</v>
          </cell>
          <cell r="B880" t="str">
            <v>PM 174</v>
          </cell>
        </row>
        <row r="881">
          <cell r="A881">
            <v>61600</v>
          </cell>
          <cell r="B881" t="str">
            <v>PM 174</v>
          </cell>
        </row>
        <row r="882">
          <cell r="A882">
            <v>62039</v>
          </cell>
          <cell r="B882" t="str">
            <v>PM 174</v>
          </cell>
        </row>
        <row r="883">
          <cell r="A883">
            <v>62128</v>
          </cell>
          <cell r="B883" t="str">
            <v>PM 174</v>
          </cell>
        </row>
        <row r="884">
          <cell r="A884">
            <v>62129</v>
          </cell>
          <cell r="B884" t="str">
            <v>PM 174</v>
          </cell>
        </row>
        <row r="885">
          <cell r="A885">
            <v>62130</v>
          </cell>
          <cell r="B885" t="str">
            <v>PM 174</v>
          </cell>
        </row>
        <row r="886">
          <cell r="A886">
            <v>62131</v>
          </cell>
          <cell r="B886" t="str">
            <v>PM 174</v>
          </cell>
        </row>
        <row r="887">
          <cell r="A887">
            <v>62132</v>
          </cell>
          <cell r="B887" t="str">
            <v>PM 174</v>
          </cell>
        </row>
        <row r="888">
          <cell r="A888">
            <v>62133</v>
          </cell>
          <cell r="B888" t="str">
            <v>PM 174</v>
          </cell>
        </row>
        <row r="889">
          <cell r="A889">
            <v>62134</v>
          </cell>
          <cell r="B889" t="str">
            <v>PM 174</v>
          </cell>
        </row>
        <row r="890">
          <cell r="A890">
            <v>62135</v>
          </cell>
          <cell r="B890" t="str">
            <v>PM 174</v>
          </cell>
        </row>
        <row r="891">
          <cell r="A891">
            <v>62136</v>
          </cell>
          <cell r="B891" t="str">
            <v>PM 174</v>
          </cell>
        </row>
        <row r="892">
          <cell r="A892">
            <v>62137</v>
          </cell>
          <cell r="B892" t="str">
            <v>PM 174</v>
          </cell>
        </row>
        <row r="893">
          <cell r="A893">
            <v>62138</v>
          </cell>
          <cell r="B893" t="str">
            <v>PM 174</v>
          </cell>
        </row>
        <row r="894">
          <cell r="A894">
            <v>62139</v>
          </cell>
          <cell r="B894" t="str">
            <v>PM 174</v>
          </cell>
        </row>
        <row r="895">
          <cell r="A895">
            <v>62140</v>
          </cell>
          <cell r="B895" t="str">
            <v>PM 174</v>
          </cell>
        </row>
        <row r="896">
          <cell r="A896">
            <v>62141</v>
          </cell>
          <cell r="B896" t="str">
            <v>PM 174</v>
          </cell>
        </row>
        <row r="897">
          <cell r="A897">
            <v>62142</v>
          </cell>
          <cell r="B897" t="str">
            <v>PM 174</v>
          </cell>
        </row>
        <row r="898">
          <cell r="A898">
            <v>62143</v>
          </cell>
          <cell r="B898" t="str">
            <v>PM 174</v>
          </cell>
        </row>
        <row r="899">
          <cell r="A899">
            <v>62144</v>
          </cell>
          <cell r="B899" t="str">
            <v>PM 174</v>
          </cell>
        </row>
        <row r="900">
          <cell r="A900">
            <v>62145</v>
          </cell>
          <cell r="B900" t="str">
            <v>PM 174</v>
          </cell>
        </row>
        <row r="901">
          <cell r="A901">
            <v>62146</v>
          </cell>
          <cell r="B901" t="str">
            <v>PM 174</v>
          </cell>
        </row>
        <row r="902">
          <cell r="A902">
            <v>62147</v>
          </cell>
          <cell r="B902" t="str">
            <v>PM 174</v>
          </cell>
        </row>
        <row r="903">
          <cell r="A903">
            <v>62772</v>
          </cell>
          <cell r="B903" t="str">
            <v>PM 174</v>
          </cell>
        </row>
        <row r="904">
          <cell r="A904">
            <v>63853</v>
          </cell>
          <cell r="B904" t="str">
            <v>PM 174</v>
          </cell>
        </row>
        <row r="905">
          <cell r="A905">
            <v>63854</v>
          </cell>
          <cell r="B905" t="str">
            <v>PM 174</v>
          </cell>
        </row>
        <row r="906">
          <cell r="A906">
            <v>63855</v>
          </cell>
          <cell r="B906" t="str">
            <v>PM 174</v>
          </cell>
        </row>
        <row r="907">
          <cell r="A907">
            <v>63856</v>
          </cell>
          <cell r="B907" t="str">
            <v>PM 174</v>
          </cell>
        </row>
        <row r="908">
          <cell r="A908">
            <v>63857</v>
          </cell>
          <cell r="B908" t="str">
            <v>PM 174</v>
          </cell>
        </row>
        <row r="909">
          <cell r="A909">
            <v>63858</v>
          </cell>
          <cell r="B909" t="str">
            <v>PM 174</v>
          </cell>
        </row>
        <row r="910">
          <cell r="A910">
            <v>63859</v>
          </cell>
          <cell r="B910" t="str">
            <v>PM 174</v>
          </cell>
        </row>
        <row r="911">
          <cell r="A911">
            <v>63860</v>
          </cell>
          <cell r="B911" t="str">
            <v>PM 174</v>
          </cell>
        </row>
        <row r="912">
          <cell r="A912">
            <v>63861</v>
          </cell>
          <cell r="B912" t="str">
            <v>PM 174</v>
          </cell>
        </row>
        <row r="913">
          <cell r="A913">
            <v>63862</v>
          </cell>
          <cell r="B913" t="str">
            <v>PM 174</v>
          </cell>
        </row>
        <row r="914">
          <cell r="A914">
            <v>63863</v>
          </cell>
          <cell r="B914" t="str">
            <v>PM 174</v>
          </cell>
        </row>
        <row r="915">
          <cell r="A915">
            <v>63864</v>
          </cell>
          <cell r="B915" t="str">
            <v>PM 174</v>
          </cell>
        </row>
        <row r="916">
          <cell r="A916">
            <v>63865</v>
          </cell>
          <cell r="B916" t="str">
            <v>PM 174</v>
          </cell>
        </row>
        <row r="917">
          <cell r="A917">
            <v>63866</v>
          </cell>
          <cell r="B917" t="str">
            <v>PM 174</v>
          </cell>
        </row>
        <row r="918">
          <cell r="A918">
            <v>63867</v>
          </cell>
          <cell r="B918" t="str">
            <v>PM 174</v>
          </cell>
        </row>
        <row r="919">
          <cell r="A919">
            <v>63868</v>
          </cell>
          <cell r="B919" t="str">
            <v>PM 174</v>
          </cell>
        </row>
        <row r="920">
          <cell r="A920">
            <v>63869</v>
          </cell>
          <cell r="B920" t="str">
            <v>PM 174</v>
          </cell>
        </row>
        <row r="921">
          <cell r="A921">
            <v>63870</v>
          </cell>
          <cell r="B921" t="str">
            <v>PM 174</v>
          </cell>
        </row>
        <row r="922">
          <cell r="A922">
            <v>63871</v>
          </cell>
          <cell r="B922" t="str">
            <v>PM 174</v>
          </cell>
        </row>
        <row r="923">
          <cell r="A923">
            <v>63872</v>
          </cell>
          <cell r="B923" t="str">
            <v>PM 174</v>
          </cell>
        </row>
        <row r="924">
          <cell r="A924">
            <v>64811</v>
          </cell>
          <cell r="B924" t="str">
            <v>PM 174</v>
          </cell>
        </row>
        <row r="925">
          <cell r="A925">
            <v>64812</v>
          </cell>
          <cell r="B925" t="str">
            <v>PM 174</v>
          </cell>
        </row>
        <row r="926">
          <cell r="A926">
            <v>64812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AO18"/>
  <sheetViews>
    <sheetView showGridLines="0" zoomScale="60" zoomScaleNormal="60" workbookViewId="0">
      <pane xSplit="2" ySplit="4" topLeftCell="C5" activePane="bottomRight" state="frozen"/>
      <selection activeCell="D23" sqref="D23"/>
      <selection pane="topRight" activeCell="D23" sqref="D23"/>
      <selection pane="bottomLeft" activeCell="D23" sqref="D23"/>
      <selection pane="bottomRight" activeCell="D23" sqref="D23"/>
    </sheetView>
  </sheetViews>
  <sheetFormatPr defaultColWidth="8.7265625" defaultRowHeight="17.5" outlineLevelRow="1" outlineLevelCol="1"/>
  <cols>
    <col min="1" max="1" width="28" style="131" bestFit="1" customWidth="1"/>
    <col min="2" max="2" width="2.6328125" style="131" bestFit="1" customWidth="1"/>
    <col min="3" max="3" width="36.26953125" style="16" customWidth="1"/>
    <col min="4" max="4" width="39.1796875" style="53" bestFit="1" customWidth="1"/>
    <col min="5" max="5" width="29.36328125" style="53" bestFit="1" customWidth="1"/>
    <col min="6" max="6" width="20" style="53" bestFit="1" customWidth="1"/>
    <col min="7" max="7" width="3.26953125" style="7" bestFit="1" customWidth="1"/>
    <col min="8" max="8" width="65.7265625" style="101" customWidth="1"/>
    <col min="9" max="9" width="71.453125" style="101" customWidth="1"/>
    <col min="10" max="10" width="4.453125" style="6" customWidth="1" outlineLevel="1"/>
    <col min="11" max="11" width="6.1796875" style="7" customWidth="1" outlineLevel="1"/>
    <col min="12" max="12" width="16.7265625" style="7" customWidth="1" outlineLevel="1"/>
    <col min="13" max="13" width="17.1796875" style="8" customWidth="1" outlineLevel="1"/>
    <col min="14" max="14" width="16.7265625" style="9" customWidth="1" outlineLevel="1"/>
    <col min="15" max="15" width="18.54296875" style="8" customWidth="1"/>
    <col min="16" max="16" width="4.81640625" style="53" customWidth="1"/>
    <col min="17" max="17" width="17.453125" style="49" hidden="1" customWidth="1"/>
    <col min="18" max="18" width="17.36328125" style="49" hidden="1" customWidth="1"/>
    <col min="19" max="19" width="15.1796875" style="49" hidden="1" customWidth="1"/>
    <col min="20" max="20" width="15.36328125" style="49" customWidth="1" outlineLevel="1"/>
    <col min="21" max="21" width="13.90625" style="49" customWidth="1" outlineLevel="1"/>
    <col min="22" max="22" width="18.7265625" style="49" bestFit="1" customWidth="1"/>
    <col min="23" max="23" width="4" style="49" customWidth="1"/>
    <col min="24" max="24" width="17.453125" style="49" bestFit="1" customWidth="1"/>
    <col min="25" max="25" width="17.36328125" style="49" bestFit="1" customWidth="1"/>
    <col min="26" max="26" width="23.7265625" style="49" bestFit="1" customWidth="1"/>
    <col min="27" max="27" width="24.36328125" style="132" bestFit="1" customWidth="1"/>
    <col min="28" max="28" width="6.54296875" style="132" hidden="1" customWidth="1"/>
    <col min="29" max="29" width="20.90625" style="12" hidden="1" customWidth="1"/>
    <col min="30" max="30" width="18.36328125" style="49" hidden="1" customWidth="1"/>
    <col min="31" max="31" width="6.90625" style="12" hidden="1" customWidth="1"/>
    <col min="32" max="32" width="7.36328125" style="53" hidden="1" customWidth="1"/>
    <col min="33" max="33" width="6.08984375" style="132" customWidth="1"/>
    <col min="34" max="34" width="10.7265625" style="8" bestFit="1" customWidth="1" outlineLevel="1"/>
    <col min="35" max="35" width="26" style="8" bestFit="1" customWidth="1" outlineLevel="1"/>
    <col min="36" max="36" width="28.54296875" style="8" bestFit="1" customWidth="1" outlineLevel="1"/>
    <col min="37" max="38" width="20.81640625" style="8" customWidth="1" outlineLevel="1"/>
    <col min="39" max="39" width="11.1796875" style="8" bestFit="1" customWidth="1" outlineLevel="1"/>
    <col min="40" max="40" width="2.7265625" style="53" bestFit="1" customWidth="1"/>
    <col min="41" max="41" width="74.36328125" style="53" bestFit="1" customWidth="1"/>
    <col min="42" max="16384" width="8.7265625" style="53"/>
  </cols>
  <sheetData>
    <row r="1" spans="1:41" s="12" customFormat="1" ht="24.5">
      <c r="A1" s="1"/>
      <c r="B1" s="1"/>
      <c r="C1" s="2" t="s">
        <v>0</v>
      </c>
      <c r="D1" s="3"/>
      <c r="E1" s="3"/>
      <c r="F1" s="3"/>
      <c r="G1" s="4"/>
      <c r="H1" s="5"/>
      <c r="I1" s="5"/>
      <c r="J1" s="6"/>
      <c r="K1" s="7"/>
      <c r="L1" s="7"/>
      <c r="M1" s="8"/>
      <c r="N1" s="9"/>
      <c r="O1" s="8"/>
      <c r="P1" s="10"/>
      <c r="Q1" s="10"/>
      <c r="R1" s="10"/>
      <c r="S1" s="10"/>
      <c r="T1" s="10"/>
      <c r="U1" s="10"/>
      <c r="V1" s="10"/>
      <c r="W1" s="11"/>
      <c r="X1" s="10"/>
      <c r="Y1" s="10"/>
      <c r="Z1" s="10"/>
      <c r="AC1" s="13"/>
      <c r="AD1" s="10"/>
      <c r="AE1" s="14"/>
      <c r="AF1" s="15"/>
      <c r="AH1" s="8"/>
      <c r="AI1" s="8"/>
      <c r="AJ1" s="8"/>
      <c r="AK1" s="8"/>
      <c r="AL1" s="8"/>
      <c r="AM1" s="8"/>
    </row>
    <row r="2" spans="1:41" s="12" customFormat="1">
      <c r="A2" s="1"/>
      <c r="B2" s="1"/>
      <c r="C2" s="16"/>
      <c r="D2" s="3"/>
      <c r="E2" s="3"/>
      <c r="F2" s="3"/>
      <c r="G2" s="4"/>
      <c r="H2" s="5"/>
      <c r="I2" s="5"/>
      <c r="J2" s="6"/>
      <c r="K2" s="7"/>
      <c r="L2" s="7"/>
      <c r="M2" s="8"/>
      <c r="N2" s="9"/>
      <c r="O2" s="8"/>
      <c r="P2" s="10"/>
      <c r="Q2" s="10"/>
      <c r="R2" s="10"/>
      <c r="S2" s="10"/>
      <c r="T2" s="10"/>
      <c r="U2" s="10"/>
      <c r="V2" s="10"/>
      <c r="W2" s="11"/>
      <c r="X2" s="10"/>
      <c r="Y2" s="10"/>
      <c r="Z2" s="10"/>
      <c r="AC2" s="13"/>
      <c r="AD2" s="10"/>
      <c r="AE2" s="14"/>
      <c r="AF2" s="15"/>
      <c r="AH2" s="8"/>
      <c r="AI2" s="8"/>
      <c r="AJ2" s="8"/>
      <c r="AK2" s="8"/>
      <c r="AL2" s="8"/>
      <c r="AM2" s="8"/>
    </row>
    <row r="3" spans="1:41" s="12" customFormat="1" ht="21">
      <c r="A3" s="1"/>
      <c r="B3" s="1"/>
      <c r="C3" s="17" t="s">
        <v>1</v>
      </c>
      <c r="H3" s="5"/>
      <c r="I3" s="5"/>
      <c r="J3" s="18" t="s">
        <v>2</v>
      </c>
      <c r="K3" s="19" t="s">
        <v>3</v>
      </c>
      <c r="L3" s="242" t="s">
        <v>4</v>
      </c>
      <c r="M3" s="242"/>
      <c r="N3" s="242" t="s">
        <v>5</v>
      </c>
      <c r="O3" s="242"/>
      <c r="P3" s="20"/>
      <c r="Q3" s="243" t="s">
        <v>6</v>
      </c>
      <c r="R3" s="243"/>
      <c r="S3" s="243"/>
      <c r="T3" s="243"/>
      <c r="U3" s="243"/>
      <c r="V3" s="243"/>
      <c r="W3" s="11"/>
      <c r="X3" s="247" t="s">
        <v>7</v>
      </c>
      <c r="Y3" s="248"/>
      <c r="Z3" s="249"/>
      <c r="AC3" s="243" t="s">
        <v>8</v>
      </c>
      <c r="AD3" s="243"/>
      <c r="AE3" s="21" t="s">
        <v>9</v>
      </c>
      <c r="AF3" s="22" t="s">
        <v>10</v>
      </c>
      <c r="AH3" s="246" t="s">
        <v>11</v>
      </c>
      <c r="AI3" s="244"/>
      <c r="AJ3" s="244"/>
      <c r="AK3" s="244"/>
      <c r="AL3" s="245"/>
    </row>
    <row r="4" spans="1:41" s="12" customFormat="1">
      <c r="A4" s="23" t="s">
        <v>12</v>
      </c>
      <c r="B4" s="1"/>
      <c r="C4" s="24" t="s">
        <v>13</v>
      </c>
      <c r="D4" s="25" t="s">
        <v>14</v>
      </c>
      <c r="E4" s="19" t="s">
        <v>15</v>
      </c>
      <c r="F4" s="19" t="s">
        <v>16</v>
      </c>
      <c r="G4" s="19" t="s">
        <v>17</v>
      </c>
      <c r="H4" s="26" t="s">
        <v>18</v>
      </c>
      <c r="I4" s="26" t="s">
        <v>19</v>
      </c>
      <c r="J4" s="18"/>
      <c r="K4" s="19"/>
      <c r="L4" s="19" t="s">
        <v>20</v>
      </c>
      <c r="M4" s="27" t="s">
        <v>21</v>
      </c>
      <c r="N4" s="19" t="s">
        <v>20</v>
      </c>
      <c r="O4" s="27" t="s">
        <v>21</v>
      </c>
      <c r="P4" s="28"/>
      <c r="Q4" s="21" t="s">
        <v>22</v>
      </c>
      <c r="R4" s="21" t="s">
        <v>23</v>
      </c>
      <c r="S4" s="21" t="s">
        <v>24</v>
      </c>
      <c r="T4" s="21" t="s">
        <v>25</v>
      </c>
      <c r="U4" s="21" t="s">
        <v>26</v>
      </c>
      <c r="V4" s="29" t="s">
        <v>27</v>
      </c>
      <c r="W4" s="11"/>
      <c r="X4" s="21" t="s">
        <v>22</v>
      </c>
      <c r="Y4" s="21" t="s">
        <v>23</v>
      </c>
      <c r="Z4" s="30" t="s">
        <v>28</v>
      </c>
      <c r="AA4" s="27" t="s">
        <v>12</v>
      </c>
      <c r="AB4" s="20"/>
      <c r="AC4" s="31" t="s">
        <v>29</v>
      </c>
      <c r="AD4" s="29" t="s">
        <v>21</v>
      </c>
      <c r="AE4" s="32" t="s">
        <v>29</v>
      </c>
      <c r="AF4" s="22" t="s">
        <v>30</v>
      </c>
      <c r="AG4" s="20"/>
      <c r="AH4" s="33" t="s">
        <v>31</v>
      </c>
      <c r="AI4" s="27" t="s">
        <v>32</v>
      </c>
      <c r="AJ4" s="27" t="s">
        <v>33</v>
      </c>
      <c r="AK4" s="27" t="s">
        <v>34</v>
      </c>
      <c r="AL4" s="34" t="s">
        <v>35</v>
      </c>
      <c r="AM4" s="35" t="s">
        <v>36</v>
      </c>
    </row>
    <row r="5" spans="1:41" ht="17.5" customHeight="1" outlineLevel="1">
      <c r="A5" s="36" t="s">
        <v>1</v>
      </c>
      <c r="B5" s="1" t="str">
        <f t="shared" ref="B5:B18" si="0">IF(ISNUMBER(SEARCH("TOTAL",C5)),"Y",IF(ISNUMBER(SEARCH("TOTAL",D5)),"Y",IF(ISNUMBER(SEARCH("TOTAL",E5)),"Y","-")))</f>
        <v>-</v>
      </c>
      <c r="C5" s="37" t="s">
        <v>37</v>
      </c>
      <c r="D5" s="38" t="s">
        <v>38</v>
      </c>
      <c r="E5" s="39" t="s">
        <v>39</v>
      </c>
      <c r="F5" s="39" t="s">
        <v>40</v>
      </c>
      <c r="G5" s="40">
        <v>1</v>
      </c>
      <c r="H5" s="41" t="s">
        <v>41</v>
      </c>
      <c r="I5" s="41" t="s">
        <v>42</v>
      </c>
      <c r="J5" s="42">
        <v>2</v>
      </c>
      <c r="K5" s="39" t="str">
        <f>IF(J5&lt;2,"Unit","Units")</f>
        <v>Units</v>
      </c>
      <c r="L5" s="43" t="s">
        <v>43</v>
      </c>
      <c r="M5" s="44">
        <v>6500000</v>
      </c>
      <c r="N5" s="45" t="s">
        <v>44</v>
      </c>
      <c r="O5" s="46">
        <f>J5*M5</f>
        <v>13000000</v>
      </c>
      <c r="P5" s="8"/>
      <c r="Q5" s="47"/>
      <c r="R5" s="48"/>
      <c r="S5" s="48"/>
      <c r="T5" s="48"/>
      <c r="U5" s="48"/>
      <c r="V5" s="44">
        <f>SUM(Q5:T5)</f>
        <v>0</v>
      </c>
      <c r="X5" s="48"/>
      <c r="Y5" s="47"/>
      <c r="Z5" s="44">
        <f>O5-SUM(Q5:T5)</f>
        <v>13000000</v>
      </c>
      <c r="AA5" s="50" t="str">
        <f>IF(Z5&lt;0,"Cost less than Realization",IF(Z5&gt;0,"Cost more than Realization",""))</f>
        <v>Cost more than Realization</v>
      </c>
      <c r="AB5" s="12"/>
      <c r="AC5" s="50"/>
      <c r="AD5" s="51"/>
      <c r="AE5" s="50"/>
      <c r="AF5" s="39"/>
      <c r="AG5" s="12"/>
      <c r="AH5" s="52"/>
      <c r="AI5" s="44"/>
      <c r="AJ5" s="44"/>
      <c r="AK5" s="44"/>
      <c r="AL5" s="44"/>
      <c r="AM5" s="44"/>
      <c r="AN5" s="12"/>
      <c r="AO5" s="12" t="str">
        <f t="shared" ref="AO5:AO15" si="1">IF(AA5="Cost less than Realization","Budget sudah terpenuhi",IF(COUNTA(AH5:AK5)=0,"Silakan pilih status CAPEX item dengan checklist (V) di status yang dipilih",""))</f>
        <v>Silakan pilih status CAPEX item dengan checklist (V) di status yang dipilih</v>
      </c>
    </row>
    <row r="6" spans="1:41" s="3" customFormat="1" ht="17.5" customHeight="1" outlineLevel="1">
      <c r="A6" s="36" t="s">
        <v>1</v>
      </c>
      <c r="B6" s="1" t="str">
        <f t="shared" si="0"/>
        <v>Y</v>
      </c>
      <c r="C6" s="37" t="s">
        <v>37</v>
      </c>
      <c r="D6" s="54" t="s">
        <v>38</v>
      </c>
      <c r="E6" s="55" t="s">
        <v>45</v>
      </c>
      <c r="F6" s="56"/>
      <c r="G6" s="57"/>
      <c r="H6" s="58"/>
      <c r="I6" s="58"/>
      <c r="J6" s="59"/>
      <c r="K6" s="60"/>
      <c r="L6" s="61"/>
      <c r="M6" s="62"/>
      <c r="N6" s="61" t="s">
        <v>44</v>
      </c>
      <c r="O6" s="62">
        <f>SUM(O5:O5)</f>
        <v>13000000</v>
      </c>
      <c r="P6" s="63"/>
      <c r="Q6" s="64">
        <f t="shared" ref="Q6:V6" si="2">SUM(Q5)</f>
        <v>0</v>
      </c>
      <c r="R6" s="64">
        <f t="shared" si="2"/>
        <v>0</v>
      </c>
      <c r="S6" s="64">
        <f t="shared" si="2"/>
        <v>0</v>
      </c>
      <c r="T6" s="64">
        <f t="shared" si="2"/>
        <v>0</v>
      </c>
      <c r="U6" s="64">
        <f t="shared" si="2"/>
        <v>0</v>
      </c>
      <c r="V6" s="64">
        <f t="shared" si="2"/>
        <v>0</v>
      </c>
      <c r="W6" s="65"/>
      <c r="X6" s="64">
        <v>0</v>
      </c>
      <c r="Y6" s="64">
        <v>0</v>
      </c>
      <c r="Z6" s="64">
        <v>13000000</v>
      </c>
      <c r="AA6" s="66"/>
      <c r="AB6" s="67"/>
      <c r="AC6" s="68"/>
      <c r="AD6" s="69">
        <f>AD5</f>
        <v>0</v>
      </c>
      <c r="AE6" s="68"/>
      <c r="AF6" s="70"/>
      <c r="AG6" s="67"/>
      <c r="AH6" s="62"/>
      <c r="AI6" s="62"/>
      <c r="AJ6" s="62"/>
      <c r="AK6" s="62"/>
      <c r="AL6" s="62"/>
      <c r="AM6" s="71"/>
      <c r="AN6" s="12"/>
      <c r="AO6" s="12"/>
    </row>
    <row r="7" spans="1:41" ht="17.5" customHeight="1" outlineLevel="1">
      <c r="A7" s="36" t="s">
        <v>1</v>
      </c>
      <c r="B7" s="1" t="str">
        <f t="shared" si="0"/>
        <v>-</v>
      </c>
      <c r="C7" s="37" t="s">
        <v>37</v>
      </c>
      <c r="D7" s="54" t="s">
        <v>38</v>
      </c>
      <c r="E7" s="39" t="s">
        <v>46</v>
      </c>
      <c r="F7" s="39" t="s">
        <v>47</v>
      </c>
      <c r="G7" s="40">
        <v>2</v>
      </c>
      <c r="H7" s="41" t="s">
        <v>48</v>
      </c>
      <c r="I7" s="41" t="s">
        <v>49</v>
      </c>
      <c r="J7" s="42">
        <v>4</v>
      </c>
      <c r="K7" s="39" t="str">
        <f>IF(J7&lt;2,"Unit","Units")</f>
        <v>Units</v>
      </c>
      <c r="L7" s="43" t="s">
        <v>43</v>
      </c>
      <c r="M7" s="44">
        <v>10000000</v>
      </c>
      <c r="N7" s="45" t="s">
        <v>44</v>
      </c>
      <c r="O7" s="46">
        <f>J7*M7</f>
        <v>40000000</v>
      </c>
      <c r="P7" s="8"/>
      <c r="Q7" s="47"/>
      <c r="R7" s="48"/>
      <c r="S7" s="48"/>
      <c r="T7" s="48"/>
      <c r="U7" s="48"/>
      <c r="V7" s="44">
        <f>SUM(Q7:T7)</f>
        <v>0</v>
      </c>
      <c r="X7" s="48"/>
      <c r="Y7" s="47"/>
      <c r="Z7" s="44">
        <f>O7-SUM(Q7:T7)</f>
        <v>40000000</v>
      </c>
      <c r="AA7" s="72" t="str">
        <f>IF(Z7&lt;0,"Cost less than Realization",IF(Z7&gt;0,"Cost more than Realization",""))</f>
        <v>Cost more than Realization</v>
      </c>
      <c r="AB7" s="12"/>
      <c r="AC7" s="50"/>
      <c r="AD7" s="51"/>
      <c r="AE7" s="50"/>
      <c r="AF7" s="39"/>
      <c r="AG7" s="12"/>
      <c r="AH7" s="52"/>
      <c r="AI7" s="44"/>
      <c r="AJ7" s="44"/>
      <c r="AK7" s="44"/>
      <c r="AL7" s="44"/>
      <c r="AM7" s="44"/>
      <c r="AN7" s="12"/>
      <c r="AO7" s="12" t="str">
        <f t="shared" si="1"/>
        <v>Silakan pilih status CAPEX item dengan checklist (V) di status yang dipilih</v>
      </c>
    </row>
    <row r="8" spans="1:41" s="3" customFormat="1" ht="17.5" customHeight="1" outlineLevel="1">
      <c r="A8" s="36" t="s">
        <v>1</v>
      </c>
      <c r="B8" s="1" t="str">
        <f t="shared" si="0"/>
        <v>Y</v>
      </c>
      <c r="C8" s="37" t="s">
        <v>37</v>
      </c>
      <c r="D8" s="54" t="s">
        <v>38</v>
      </c>
      <c r="E8" s="73" t="s">
        <v>50</v>
      </c>
      <c r="F8" s="74"/>
      <c r="G8" s="75"/>
      <c r="H8" s="76"/>
      <c r="I8" s="76"/>
      <c r="J8" s="77"/>
      <c r="K8" s="78"/>
      <c r="L8" s="79"/>
      <c r="M8" s="80"/>
      <c r="N8" s="79" t="s">
        <v>44</v>
      </c>
      <c r="O8" s="80">
        <f>SUM(O7:O7)</f>
        <v>40000000</v>
      </c>
      <c r="P8" s="63"/>
      <c r="Q8" s="81">
        <f t="shared" ref="Q8:V8" si="3">SUM(Q7)</f>
        <v>0</v>
      </c>
      <c r="R8" s="81">
        <f t="shared" si="3"/>
        <v>0</v>
      </c>
      <c r="S8" s="81">
        <f t="shared" si="3"/>
        <v>0</v>
      </c>
      <c r="T8" s="81">
        <f t="shared" si="3"/>
        <v>0</v>
      </c>
      <c r="U8" s="81">
        <f t="shared" si="3"/>
        <v>0</v>
      </c>
      <c r="V8" s="81">
        <f t="shared" si="3"/>
        <v>0</v>
      </c>
      <c r="W8" s="65"/>
      <c r="X8" s="81">
        <v>0</v>
      </c>
      <c r="Y8" s="81">
        <v>0</v>
      </c>
      <c r="Z8" s="81">
        <v>40000000</v>
      </c>
      <c r="AA8" s="82"/>
      <c r="AB8" s="67"/>
      <c r="AC8" s="82"/>
      <c r="AD8" s="83">
        <f>AD7</f>
        <v>0</v>
      </c>
      <c r="AE8" s="82"/>
      <c r="AF8" s="84"/>
      <c r="AG8" s="67"/>
      <c r="AH8" s="80"/>
      <c r="AI8" s="80"/>
      <c r="AJ8" s="80"/>
      <c r="AK8" s="80"/>
      <c r="AL8" s="80"/>
      <c r="AM8" s="85"/>
      <c r="AN8" s="12"/>
      <c r="AO8" s="12"/>
    </row>
    <row r="9" spans="1:41" s="100" customFormat="1" ht="17.5" customHeight="1" outlineLevel="1">
      <c r="A9" s="36" t="s">
        <v>1</v>
      </c>
      <c r="B9" s="1" t="str">
        <f t="shared" si="0"/>
        <v>Y</v>
      </c>
      <c r="C9" s="37" t="s">
        <v>37</v>
      </c>
      <c r="D9" s="86" t="s">
        <v>51</v>
      </c>
      <c r="E9" s="87"/>
      <c r="F9" s="87"/>
      <c r="G9" s="88"/>
      <c r="H9" s="89"/>
      <c r="I9" s="89"/>
      <c r="J9" s="90"/>
      <c r="K9" s="91"/>
      <c r="L9" s="92"/>
      <c r="M9" s="93"/>
      <c r="N9" s="92" t="s">
        <v>44</v>
      </c>
      <c r="O9" s="93">
        <f>SUM(O5:O8)/2</f>
        <v>53000000</v>
      </c>
      <c r="P9" s="94"/>
      <c r="Q9" s="95">
        <f t="shared" ref="Q9:V9" si="4">SUM(Q8,Q6)</f>
        <v>0</v>
      </c>
      <c r="R9" s="95">
        <f t="shared" si="4"/>
        <v>0</v>
      </c>
      <c r="S9" s="95">
        <f t="shared" si="4"/>
        <v>0</v>
      </c>
      <c r="T9" s="95">
        <f t="shared" si="4"/>
        <v>0</v>
      </c>
      <c r="U9" s="95">
        <f t="shared" si="4"/>
        <v>0</v>
      </c>
      <c r="V9" s="95">
        <f t="shared" si="4"/>
        <v>0</v>
      </c>
      <c r="W9" s="96"/>
      <c r="X9" s="95">
        <v>0</v>
      </c>
      <c r="Y9" s="95">
        <v>0</v>
      </c>
      <c r="Z9" s="95">
        <f>Z6+Z8</f>
        <v>53000000</v>
      </c>
      <c r="AA9" s="97"/>
      <c r="AB9" s="98"/>
      <c r="AC9" s="97"/>
      <c r="AD9" s="93">
        <f>AD6+AD8</f>
        <v>0</v>
      </c>
      <c r="AE9" s="97"/>
      <c r="AF9" s="87"/>
      <c r="AG9" s="98"/>
      <c r="AH9" s="93"/>
      <c r="AI9" s="93"/>
      <c r="AJ9" s="93"/>
      <c r="AK9" s="93"/>
      <c r="AL9" s="93"/>
      <c r="AM9" s="99"/>
      <c r="AN9" s="12"/>
      <c r="AO9" s="12"/>
    </row>
    <row r="10" spans="1:41">
      <c r="A10" s="36" t="s">
        <v>1</v>
      </c>
      <c r="B10" s="1" t="str">
        <f t="shared" si="0"/>
        <v>-</v>
      </c>
      <c r="C10" s="5"/>
      <c r="P10" s="102"/>
      <c r="R10" s="102"/>
      <c r="U10" s="102"/>
      <c r="Y10" s="102"/>
      <c r="Z10" s="102"/>
      <c r="AA10" s="12" t="str">
        <f>IF(Z10&lt;0,"Cost less than Realization",IF(Z10&gt;0,"Cost more than Realization",""))</f>
        <v/>
      </c>
      <c r="AB10" s="12"/>
      <c r="AG10" s="12"/>
      <c r="AN10" s="12"/>
      <c r="AO10" s="12"/>
    </row>
    <row r="11" spans="1:41" s="12" customFormat="1">
      <c r="A11" s="36" t="s">
        <v>52</v>
      </c>
      <c r="B11" s="1" t="str">
        <f t="shared" si="0"/>
        <v>-</v>
      </c>
      <c r="C11" s="17" t="s">
        <v>52</v>
      </c>
      <c r="D11" s="103"/>
      <c r="E11" s="103"/>
      <c r="F11" s="103"/>
      <c r="G11" s="104"/>
      <c r="H11" s="105"/>
      <c r="I11" s="106"/>
      <c r="J11" s="18" t="s">
        <v>2</v>
      </c>
      <c r="K11" s="19" t="s">
        <v>3</v>
      </c>
      <c r="L11" s="242" t="s">
        <v>4</v>
      </c>
      <c r="M11" s="242"/>
      <c r="N11" s="242" t="s">
        <v>5</v>
      </c>
      <c r="O11" s="242"/>
      <c r="P11" s="20"/>
      <c r="Q11" s="243" t="s">
        <v>6</v>
      </c>
      <c r="R11" s="243"/>
      <c r="S11" s="243"/>
      <c r="T11" s="243"/>
      <c r="U11" s="243"/>
      <c r="V11" s="243"/>
      <c r="W11" s="11"/>
      <c r="X11" s="244" t="s">
        <v>7</v>
      </c>
      <c r="Y11" s="244"/>
      <c r="Z11" s="245"/>
      <c r="AC11" s="243" t="s">
        <v>8</v>
      </c>
      <c r="AD11" s="243"/>
      <c r="AE11" s="21" t="s">
        <v>9</v>
      </c>
      <c r="AF11" s="22" t="s">
        <v>10</v>
      </c>
      <c r="AH11" s="246" t="s">
        <v>11</v>
      </c>
      <c r="AI11" s="244"/>
      <c r="AJ11" s="244"/>
      <c r="AK11" s="244"/>
      <c r="AL11" s="245"/>
      <c r="AM11" s="107"/>
    </row>
    <row r="12" spans="1:41" s="12" customFormat="1">
      <c r="A12" s="36" t="s">
        <v>52</v>
      </c>
      <c r="B12" s="1" t="str">
        <f t="shared" si="0"/>
        <v>-</v>
      </c>
      <c r="C12" s="26" t="s">
        <v>13</v>
      </c>
      <c r="D12" s="108" t="s">
        <v>14</v>
      </c>
      <c r="E12" s="108" t="s">
        <v>15</v>
      </c>
      <c r="F12" s="108" t="s">
        <v>16</v>
      </c>
      <c r="G12" s="108" t="s">
        <v>17</v>
      </c>
      <c r="H12" s="109" t="s">
        <v>18</v>
      </c>
      <c r="I12" s="26" t="s">
        <v>19</v>
      </c>
      <c r="J12" s="18"/>
      <c r="K12" s="19"/>
      <c r="L12" s="19" t="s">
        <v>20</v>
      </c>
      <c r="M12" s="27" t="s">
        <v>21</v>
      </c>
      <c r="N12" s="19" t="s">
        <v>20</v>
      </c>
      <c r="O12" s="110" t="s">
        <v>21</v>
      </c>
      <c r="P12" s="28"/>
      <c r="Q12" s="21" t="s">
        <v>22</v>
      </c>
      <c r="R12" s="21" t="s">
        <v>23</v>
      </c>
      <c r="S12" s="21" t="s">
        <v>24</v>
      </c>
      <c r="T12" s="21" t="s">
        <v>25</v>
      </c>
      <c r="U12" s="21" t="s">
        <v>26</v>
      </c>
      <c r="V12" s="29" t="s">
        <v>27</v>
      </c>
      <c r="W12" s="11"/>
      <c r="X12" s="21" t="s">
        <v>22</v>
      </c>
      <c r="Y12" s="21" t="s">
        <v>23</v>
      </c>
      <c r="Z12" s="111" t="s">
        <v>28</v>
      </c>
      <c r="AA12" s="27" t="s">
        <v>12</v>
      </c>
      <c r="AB12" s="20"/>
      <c r="AC12" s="31" t="s">
        <v>29</v>
      </c>
      <c r="AD12" s="29" t="s">
        <v>21</v>
      </c>
      <c r="AE12" s="32" t="s">
        <v>29</v>
      </c>
      <c r="AF12" s="22" t="s">
        <v>30</v>
      </c>
      <c r="AG12" s="20"/>
      <c r="AH12" s="33" t="s">
        <v>31</v>
      </c>
      <c r="AI12" s="27" t="s">
        <v>32</v>
      </c>
      <c r="AJ12" s="27" t="s">
        <v>33</v>
      </c>
      <c r="AK12" s="27" t="s">
        <v>34</v>
      </c>
      <c r="AL12" s="34" t="s">
        <v>35</v>
      </c>
      <c r="AM12" s="35" t="s">
        <v>36</v>
      </c>
    </row>
    <row r="13" spans="1:41" outlineLevel="1">
      <c r="A13" s="36" t="s">
        <v>52</v>
      </c>
      <c r="B13" s="1" t="str">
        <f t="shared" si="0"/>
        <v>-</v>
      </c>
      <c r="C13" s="37" t="s">
        <v>37</v>
      </c>
      <c r="D13" s="38" t="s">
        <v>38</v>
      </c>
      <c r="E13" s="39" t="s">
        <v>46</v>
      </c>
      <c r="F13" s="39"/>
      <c r="G13" s="40"/>
      <c r="H13" s="112"/>
      <c r="I13" s="112"/>
      <c r="J13" s="42"/>
      <c r="K13" s="39"/>
      <c r="L13" s="44"/>
      <c r="M13" s="44"/>
      <c r="N13" s="43" t="s">
        <v>44</v>
      </c>
      <c r="O13" s="46">
        <f>J13*M13</f>
        <v>0</v>
      </c>
      <c r="P13" s="102"/>
      <c r="Q13" s="48"/>
      <c r="R13" s="48"/>
      <c r="S13" s="48"/>
      <c r="T13" s="48"/>
      <c r="U13" s="48"/>
      <c r="V13" s="48">
        <f>SUM(Q13:T13)</f>
        <v>0</v>
      </c>
      <c r="X13" s="48"/>
      <c r="Y13" s="48"/>
      <c r="Z13" s="48"/>
      <c r="AA13" s="50"/>
      <c r="AB13" s="12"/>
      <c r="AC13" s="50"/>
      <c r="AD13" s="51"/>
      <c r="AE13" s="50"/>
      <c r="AF13" s="113"/>
      <c r="AG13" s="12"/>
      <c r="AH13" s="52"/>
      <c r="AI13" s="44"/>
      <c r="AJ13" s="44"/>
      <c r="AK13" s="44"/>
      <c r="AL13" s="44"/>
      <c r="AM13" s="44"/>
      <c r="AN13" s="12"/>
      <c r="AO13" s="12" t="str">
        <f t="shared" si="1"/>
        <v>Silakan pilih status CAPEX item dengan checklist (V) di status yang dipilih</v>
      </c>
    </row>
    <row r="14" spans="1:41" outlineLevel="1">
      <c r="A14" s="36" t="s">
        <v>52</v>
      </c>
      <c r="B14" s="1" t="str">
        <f t="shared" si="0"/>
        <v>-</v>
      </c>
      <c r="C14" s="37" t="s">
        <v>37</v>
      </c>
      <c r="D14" s="54" t="s">
        <v>38</v>
      </c>
      <c r="E14" s="114" t="s">
        <v>46</v>
      </c>
      <c r="F14" s="39"/>
      <c r="G14" s="40"/>
      <c r="H14" s="112"/>
      <c r="I14" s="112"/>
      <c r="J14" s="42"/>
      <c r="K14" s="39"/>
      <c r="L14" s="44"/>
      <c r="M14" s="44"/>
      <c r="N14" s="43" t="s">
        <v>44</v>
      </c>
      <c r="O14" s="46">
        <f>J14*M14</f>
        <v>0</v>
      </c>
      <c r="P14" s="102"/>
      <c r="Q14" s="48"/>
      <c r="R14" s="48"/>
      <c r="S14" s="48"/>
      <c r="T14" s="48"/>
      <c r="U14" s="48"/>
      <c r="V14" s="48">
        <f>SUM(Q14:T14)</f>
        <v>0</v>
      </c>
      <c r="X14" s="48"/>
      <c r="Y14" s="48"/>
      <c r="Z14" s="48"/>
      <c r="AA14" s="50"/>
      <c r="AB14" s="12"/>
      <c r="AC14" s="50"/>
      <c r="AD14" s="51"/>
      <c r="AE14" s="50"/>
      <c r="AF14" s="113"/>
      <c r="AG14" s="12"/>
      <c r="AH14" s="52"/>
      <c r="AI14" s="44"/>
      <c r="AJ14" s="44"/>
      <c r="AK14" s="44"/>
      <c r="AL14" s="44"/>
      <c r="AM14" s="44"/>
      <c r="AN14" s="12"/>
      <c r="AO14" s="12" t="str">
        <f t="shared" si="1"/>
        <v>Silakan pilih status CAPEX item dengan checklist (V) di status yang dipilih</v>
      </c>
    </row>
    <row r="15" spans="1:41" outlineLevel="1">
      <c r="A15" s="36" t="s">
        <v>52</v>
      </c>
      <c r="B15" s="1" t="str">
        <f t="shared" si="0"/>
        <v>-</v>
      </c>
      <c r="C15" s="37" t="s">
        <v>37</v>
      </c>
      <c r="D15" s="54" t="s">
        <v>38</v>
      </c>
      <c r="E15" s="114" t="s">
        <v>46</v>
      </c>
      <c r="F15" s="39"/>
      <c r="G15" s="40"/>
      <c r="H15" s="41"/>
      <c r="I15" s="41"/>
      <c r="J15" s="42"/>
      <c r="K15" s="39"/>
      <c r="L15" s="44"/>
      <c r="M15" s="44"/>
      <c r="N15" s="43" t="s">
        <v>44</v>
      </c>
      <c r="O15" s="46">
        <f>J15*M15</f>
        <v>0</v>
      </c>
      <c r="P15" s="102"/>
      <c r="Q15" s="48"/>
      <c r="R15" s="48"/>
      <c r="S15" s="48"/>
      <c r="T15" s="48"/>
      <c r="U15" s="48"/>
      <c r="V15" s="48">
        <f>SUM(Q15:T15)</f>
        <v>0</v>
      </c>
      <c r="X15" s="48"/>
      <c r="Y15" s="48"/>
      <c r="Z15" s="48"/>
      <c r="AA15" s="50"/>
      <c r="AB15" s="12"/>
      <c r="AC15" s="50"/>
      <c r="AD15" s="51"/>
      <c r="AE15" s="50"/>
      <c r="AF15" s="113"/>
      <c r="AG15" s="12"/>
      <c r="AH15" s="52"/>
      <c r="AI15" s="44"/>
      <c r="AJ15" s="44"/>
      <c r="AK15" s="44"/>
      <c r="AL15" s="44"/>
      <c r="AM15" s="44"/>
      <c r="AN15" s="12"/>
      <c r="AO15" s="12" t="str">
        <f t="shared" si="1"/>
        <v>Silakan pilih status CAPEX item dengan checklist (V) di status yang dipilih</v>
      </c>
    </row>
    <row r="16" spans="1:41" s="3" customFormat="1" outlineLevel="1">
      <c r="A16" s="36" t="s">
        <v>52</v>
      </c>
      <c r="B16" s="1" t="str">
        <f t="shared" si="0"/>
        <v>Y</v>
      </c>
      <c r="C16" s="37" t="s">
        <v>37</v>
      </c>
      <c r="D16" s="54" t="s">
        <v>38</v>
      </c>
      <c r="E16" s="73" t="s">
        <v>50</v>
      </c>
      <c r="F16" s="74"/>
      <c r="G16" s="75"/>
      <c r="H16" s="76"/>
      <c r="I16" s="76"/>
      <c r="J16" s="77"/>
      <c r="K16" s="78"/>
      <c r="L16" s="80"/>
      <c r="M16" s="80"/>
      <c r="N16" s="79" t="s">
        <v>44</v>
      </c>
      <c r="O16" s="80">
        <f>SUM(O13:O15)</f>
        <v>0</v>
      </c>
      <c r="P16" s="115"/>
      <c r="Q16" s="81">
        <f t="shared" ref="Q16:U16" si="5">SUM(Q13:Q15)</f>
        <v>0</v>
      </c>
      <c r="R16" s="81">
        <f t="shared" si="5"/>
        <v>0</v>
      </c>
      <c r="S16" s="81">
        <f t="shared" si="5"/>
        <v>0</v>
      </c>
      <c r="T16" s="81">
        <f t="shared" si="5"/>
        <v>0</v>
      </c>
      <c r="U16" s="81">
        <f t="shared" si="5"/>
        <v>0</v>
      </c>
      <c r="V16" s="81">
        <f>SUM(V13:V15)</f>
        <v>0</v>
      </c>
      <c r="W16" s="65"/>
      <c r="X16" s="81"/>
      <c r="Y16" s="116"/>
      <c r="Z16" s="81"/>
      <c r="AA16" s="117"/>
      <c r="AB16" s="67"/>
      <c r="AC16" s="82"/>
      <c r="AD16" s="83"/>
      <c r="AE16" s="82"/>
      <c r="AF16" s="84"/>
      <c r="AG16" s="67"/>
      <c r="AH16" s="80"/>
      <c r="AI16" s="80"/>
      <c r="AJ16" s="80"/>
      <c r="AK16" s="80"/>
      <c r="AL16" s="80"/>
      <c r="AM16" s="85"/>
      <c r="AN16" s="12"/>
      <c r="AO16" s="12"/>
    </row>
    <row r="17" spans="1:41" s="100" customFormat="1" outlineLevel="1">
      <c r="A17" s="36" t="s">
        <v>52</v>
      </c>
      <c r="B17" s="1" t="str">
        <f t="shared" si="0"/>
        <v>Y</v>
      </c>
      <c r="C17" s="37" t="s">
        <v>37</v>
      </c>
      <c r="D17" s="86" t="s">
        <v>51</v>
      </c>
      <c r="E17" s="118"/>
      <c r="F17" s="118"/>
      <c r="G17" s="119"/>
      <c r="H17" s="120"/>
      <c r="I17" s="120"/>
      <c r="J17" s="121"/>
      <c r="K17" s="122"/>
      <c r="L17" s="123"/>
      <c r="M17" s="123"/>
      <c r="N17" s="124" t="s">
        <v>44</v>
      </c>
      <c r="O17" s="123">
        <f>O16</f>
        <v>0</v>
      </c>
      <c r="P17" s="94"/>
      <c r="Q17" s="125">
        <f t="shared" ref="Q17:U17" si="6">Q16</f>
        <v>0</v>
      </c>
      <c r="R17" s="125">
        <f t="shared" si="6"/>
        <v>0</v>
      </c>
      <c r="S17" s="125">
        <f t="shared" si="6"/>
        <v>0</v>
      </c>
      <c r="T17" s="125">
        <f t="shared" si="6"/>
        <v>0</v>
      </c>
      <c r="U17" s="125">
        <f t="shared" si="6"/>
        <v>0</v>
      </c>
      <c r="V17" s="125">
        <f>V16</f>
        <v>0</v>
      </c>
      <c r="W17" s="96"/>
      <c r="X17" s="125"/>
      <c r="Y17" s="126"/>
      <c r="Z17" s="125"/>
      <c r="AA17" s="127"/>
      <c r="AB17" s="98"/>
      <c r="AC17" s="128"/>
      <c r="AD17" s="129"/>
      <c r="AE17" s="128"/>
      <c r="AF17" s="118"/>
      <c r="AG17" s="98"/>
      <c r="AH17" s="123"/>
      <c r="AI17" s="123"/>
      <c r="AJ17" s="123"/>
      <c r="AK17" s="123"/>
      <c r="AL17" s="123"/>
      <c r="AM17" s="130"/>
      <c r="AN17" s="12"/>
      <c r="AO17" s="12"/>
    </row>
    <row r="18" spans="1:41">
      <c r="A18" s="36" t="s">
        <v>52</v>
      </c>
      <c r="B18" s="1" t="str">
        <f t="shared" si="0"/>
        <v>-</v>
      </c>
      <c r="C18" s="5"/>
      <c r="P18" s="102"/>
      <c r="R18" s="102"/>
      <c r="U18" s="102"/>
      <c r="Y18" s="102"/>
      <c r="Z18" s="102"/>
      <c r="AA18" s="12" t="str">
        <f>IF(Z18&lt;0,"Cost less than Realization",IF(Z18&gt;0,"Cost more than Realization",""))</f>
        <v/>
      </c>
      <c r="AB18" s="12"/>
      <c r="AG18" s="12"/>
      <c r="AN18" s="12"/>
      <c r="AO18" s="12"/>
    </row>
  </sheetData>
  <mergeCells count="12">
    <mergeCell ref="AH11:AL11"/>
    <mergeCell ref="L3:M3"/>
    <mergeCell ref="N3:O3"/>
    <mergeCell ref="Q3:V3"/>
    <mergeCell ref="X3:Z3"/>
    <mergeCell ref="AC3:AD3"/>
    <mergeCell ref="AH3:AL3"/>
    <mergeCell ref="L11:M11"/>
    <mergeCell ref="N11:O11"/>
    <mergeCell ref="Q11:V11"/>
    <mergeCell ref="X11:Z11"/>
    <mergeCell ref="AC11:AD11"/>
  </mergeCells>
  <conditionalFormatting sqref="AG5:AG10 AA5:AB10 AG12:AG18 AA12:AB18">
    <cfRule type="containsText" dxfId="6" priority="6" operator="containsText" text="less than">
      <formula>NOT(ISERROR(SEARCH("less than",AA5)))</formula>
    </cfRule>
    <cfRule type="containsText" dxfId="5" priority="7" operator="containsText" text="more than">
      <formula>NOT(ISERROR(SEARCH("more than",AA5)))</formula>
    </cfRule>
  </conditionalFormatting>
  <conditionalFormatting sqref="E1:E1048576">
    <cfRule type="containsText" dxfId="4" priority="5" operator="containsText" text="SUB-TOTAL">
      <formula>NOT(ISERROR(SEARCH("SUB-TOTAL",E1)))</formula>
    </cfRule>
  </conditionalFormatting>
  <conditionalFormatting sqref="D1:D1048576">
    <cfRule type="containsText" dxfId="3" priority="4" operator="containsText" text="SUB-TOTAL">
      <formula>NOT(ISERROR(SEARCH("SUB-TOTAL",D1)))</formula>
    </cfRule>
  </conditionalFormatting>
  <conditionalFormatting sqref="C1:C1048576">
    <cfRule type="containsText" dxfId="2" priority="3" operator="containsText" text="SUB-TOTAL">
      <formula>NOT(ISERROR(SEARCH("SUB-TOTAL",C1)))</formula>
    </cfRule>
  </conditionalFormatting>
  <conditionalFormatting sqref="Z5:Z10 Z13:Z18">
    <cfRule type="cellIs" dxfId="1" priority="2" operator="lessThan">
      <formula>0</formula>
    </cfRule>
  </conditionalFormatting>
  <conditionalFormatting sqref="AO5:AO18">
    <cfRule type="containsText" dxfId="0" priority="1" operator="containsText" text="Silakan pilih status CAPEX item">
      <formula>NOT(ISERROR(SEARCH("Silakan pilih status CAPEX item",AO5)))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O37"/>
  <sheetViews>
    <sheetView tabSelected="1" topLeftCell="E13" zoomScale="85" zoomScaleNormal="85" workbookViewId="0">
      <selection activeCell="R24" sqref="R24"/>
    </sheetView>
  </sheetViews>
  <sheetFormatPr defaultColWidth="9.1796875" defaultRowHeight="14.5" outlineLevelCol="1"/>
  <cols>
    <col min="1" max="1" width="1" style="186" customWidth="1"/>
    <col min="2" max="2" width="18.1796875" style="235" customWidth="1"/>
    <col min="3" max="3" width="6.6328125" style="236" customWidth="1"/>
    <col min="4" max="4" width="11.453125" style="237" customWidth="1"/>
    <col min="5" max="5" width="36.7265625" style="186" customWidth="1"/>
    <col min="6" max="6" width="4.81640625" style="238" customWidth="1" outlineLevel="1"/>
    <col min="7" max="7" width="22" style="236" customWidth="1" outlineLevel="1"/>
    <col min="8" max="8" width="8.7265625" style="236" customWidth="1" outlineLevel="1"/>
    <col min="9" max="9" width="5.26953125" style="239" customWidth="1" outlineLevel="1"/>
    <col min="10" max="10" width="5.7265625" style="239" customWidth="1" outlineLevel="1"/>
    <col min="11" max="11" width="12.54296875" style="239" bestFit="1" customWidth="1" outlineLevel="1"/>
    <col min="12" max="12" width="14.26953125" style="240" bestFit="1" customWidth="1"/>
    <col min="13" max="13" width="9.81640625" style="240" bestFit="1" customWidth="1"/>
    <col min="14" max="14" width="11.81640625" style="240" bestFit="1" customWidth="1"/>
    <col min="15" max="15" width="9.26953125" style="241" customWidth="1" outlineLevel="1"/>
    <col min="16" max="16384" width="9.1796875" style="186"/>
  </cols>
  <sheetData>
    <row r="1" spans="2:15" s="142" customFormat="1" ht="21.5" thickBot="1">
      <c r="B1" s="133" t="s">
        <v>53</v>
      </c>
      <c r="C1" s="134"/>
      <c r="D1" s="135"/>
      <c r="E1" s="136"/>
      <c r="F1" s="137"/>
      <c r="G1" s="138"/>
      <c r="H1" s="138"/>
      <c r="I1" s="139"/>
      <c r="J1" s="139"/>
      <c r="K1" s="139"/>
      <c r="L1" s="140"/>
      <c r="M1" s="140"/>
      <c r="N1" s="140"/>
      <c r="O1" s="141"/>
    </row>
    <row r="2" spans="2:15" s="142" customFormat="1" ht="21">
      <c r="B2" s="143" t="s">
        <v>54</v>
      </c>
      <c r="C2" s="144"/>
      <c r="D2" s="145"/>
      <c r="E2" s="146"/>
      <c r="F2" s="147"/>
      <c r="G2" s="148"/>
      <c r="H2" s="148"/>
      <c r="I2" s="149"/>
      <c r="J2" s="149"/>
      <c r="K2" s="149"/>
      <c r="L2" s="150"/>
      <c r="M2" s="150"/>
      <c r="N2" s="150"/>
      <c r="O2" s="151"/>
    </row>
    <row r="4" spans="2:15" s="161" customFormat="1" ht="43.5">
      <c r="B4" s="152" t="s">
        <v>13</v>
      </c>
      <c r="C4" s="153" t="s">
        <v>14</v>
      </c>
      <c r="D4" s="154" t="s">
        <v>55</v>
      </c>
      <c r="E4" s="155" t="s">
        <v>15</v>
      </c>
      <c r="F4" s="156" t="s">
        <v>18</v>
      </c>
      <c r="G4" s="157"/>
      <c r="H4" s="157"/>
      <c r="I4" s="158" t="s">
        <v>2</v>
      </c>
      <c r="J4" s="158" t="s">
        <v>56</v>
      </c>
      <c r="K4" s="250" t="s">
        <v>4</v>
      </c>
      <c r="L4" s="251"/>
      <c r="M4" s="159"/>
      <c r="N4" s="159" t="s">
        <v>5</v>
      </c>
      <c r="O4" s="160" t="s">
        <v>57</v>
      </c>
    </row>
    <row r="5" spans="2:15" s="161" customFormat="1" ht="29.5" thickBot="1">
      <c r="B5" s="162"/>
      <c r="C5" s="163"/>
      <c r="D5" s="164"/>
      <c r="E5" s="165"/>
      <c r="F5" s="166"/>
      <c r="G5" s="167"/>
      <c r="H5" s="167"/>
      <c r="I5" s="168"/>
      <c r="J5" s="168"/>
      <c r="K5" s="169" t="s">
        <v>58</v>
      </c>
      <c r="L5" s="170" t="s">
        <v>21</v>
      </c>
      <c r="M5" s="171" t="s">
        <v>58</v>
      </c>
      <c r="N5" s="172" t="s">
        <v>21</v>
      </c>
      <c r="O5" s="173"/>
    </row>
    <row r="6" spans="2:15">
      <c r="B6" s="174" t="s">
        <v>59</v>
      </c>
      <c r="C6" s="175" t="s">
        <v>60</v>
      </c>
      <c r="D6" s="176" t="s">
        <v>61</v>
      </c>
      <c r="E6" s="177" t="s">
        <v>62</v>
      </c>
      <c r="F6" s="178" t="s">
        <v>63</v>
      </c>
      <c r="G6" s="179"/>
      <c r="H6" s="179"/>
      <c r="I6" s="180"/>
      <c r="J6" s="181"/>
      <c r="K6" s="182"/>
      <c r="L6" s="183"/>
      <c r="M6" s="182"/>
      <c r="N6" s="184"/>
      <c r="O6" s="185"/>
    </row>
    <row r="7" spans="2:15">
      <c r="B7" s="174"/>
      <c r="C7" s="175"/>
      <c r="D7" s="176"/>
      <c r="E7" s="177"/>
      <c r="F7" s="187">
        <v>2</v>
      </c>
      <c r="G7" s="188"/>
      <c r="H7" s="189"/>
      <c r="I7" s="190"/>
      <c r="J7" s="190"/>
      <c r="K7" s="191"/>
      <c r="L7" s="192"/>
      <c r="M7" s="193"/>
      <c r="N7" s="194"/>
      <c r="O7" s="195"/>
    </row>
    <row r="8" spans="2:15">
      <c r="B8" s="174"/>
      <c r="C8" s="175"/>
      <c r="D8" s="176"/>
      <c r="E8" s="177"/>
      <c r="F8" s="187">
        <v>3</v>
      </c>
      <c r="G8" s="196"/>
      <c r="H8" s="196"/>
      <c r="I8" s="190"/>
      <c r="J8" s="190"/>
      <c r="K8" s="191"/>
      <c r="L8" s="194"/>
      <c r="M8" s="193"/>
      <c r="N8" s="194"/>
      <c r="O8" s="195"/>
    </row>
    <row r="9" spans="2:15">
      <c r="B9" s="174"/>
      <c r="C9" s="175"/>
      <c r="D9" s="176"/>
      <c r="E9" s="177"/>
      <c r="F9" s="187">
        <v>4</v>
      </c>
      <c r="G9" s="196"/>
      <c r="H9" s="196"/>
      <c r="I9" s="190"/>
      <c r="J9" s="190"/>
      <c r="K9" s="191"/>
      <c r="L9" s="194"/>
      <c r="M9" s="193"/>
      <c r="N9" s="194"/>
      <c r="O9" s="195"/>
    </row>
    <row r="10" spans="2:15">
      <c r="B10" s="174"/>
      <c r="C10" s="175"/>
      <c r="D10" s="176"/>
      <c r="E10" s="177"/>
      <c r="F10" s="187">
        <v>5</v>
      </c>
      <c r="G10" s="196"/>
      <c r="H10" s="196"/>
      <c r="I10" s="190"/>
      <c r="J10" s="190"/>
      <c r="K10" s="191"/>
      <c r="L10" s="194"/>
      <c r="M10" s="193"/>
      <c r="N10" s="194"/>
      <c r="O10" s="195"/>
    </row>
    <row r="11" spans="2:15">
      <c r="B11" s="174"/>
      <c r="C11" s="175"/>
      <c r="D11" s="176"/>
      <c r="E11" s="197" t="s">
        <v>64</v>
      </c>
      <c r="F11" s="198"/>
      <c r="G11" s="199"/>
      <c r="H11" s="200"/>
      <c r="I11" s="201"/>
      <c r="J11" s="201"/>
      <c r="K11" s="202"/>
      <c r="L11" s="203">
        <f>K11*I11</f>
        <v>0</v>
      </c>
      <c r="M11" s="202"/>
      <c r="N11" s="204"/>
      <c r="O11" s="205"/>
    </row>
    <row r="12" spans="2:15">
      <c r="B12" s="174"/>
      <c r="C12" s="175"/>
      <c r="D12" s="176"/>
      <c r="E12" s="177" t="s">
        <v>39</v>
      </c>
      <c r="F12" s="187" t="s">
        <v>63</v>
      </c>
      <c r="G12" s="197"/>
      <c r="H12" s="197"/>
      <c r="I12" s="190"/>
      <c r="J12" s="206"/>
      <c r="K12" s="193"/>
      <c r="L12" s="192"/>
      <c r="M12" s="193"/>
      <c r="N12" s="194"/>
      <c r="O12" s="195"/>
    </row>
    <row r="13" spans="2:15">
      <c r="B13" s="174"/>
      <c r="C13" s="175"/>
      <c r="D13" s="176"/>
      <c r="E13" s="177"/>
      <c r="F13" s="187">
        <v>2</v>
      </c>
      <c r="G13" s="188"/>
      <c r="H13" s="189"/>
      <c r="I13" s="190"/>
      <c r="J13" s="190"/>
      <c r="K13" s="191"/>
      <c r="L13" s="192"/>
      <c r="M13" s="193"/>
      <c r="N13" s="194"/>
      <c r="O13" s="195"/>
    </row>
    <row r="14" spans="2:15">
      <c r="B14" s="174"/>
      <c r="C14" s="175"/>
      <c r="D14" s="176"/>
      <c r="E14" s="177"/>
      <c r="F14" s="187">
        <v>3</v>
      </c>
      <c r="G14" s="196"/>
      <c r="H14" s="196"/>
      <c r="I14" s="190"/>
      <c r="J14" s="190"/>
      <c r="K14" s="191"/>
      <c r="L14" s="194"/>
      <c r="M14" s="193"/>
      <c r="N14" s="194"/>
      <c r="O14" s="195"/>
    </row>
    <row r="15" spans="2:15">
      <c r="B15" s="174"/>
      <c r="C15" s="175"/>
      <c r="D15" s="176"/>
      <c r="E15" s="177"/>
      <c r="F15" s="187">
        <v>4</v>
      </c>
      <c r="G15" s="196"/>
      <c r="H15" s="196"/>
      <c r="I15" s="190"/>
      <c r="J15" s="190"/>
      <c r="K15" s="191"/>
      <c r="L15" s="194"/>
      <c r="M15" s="193"/>
      <c r="N15" s="194"/>
      <c r="O15" s="195"/>
    </row>
    <row r="16" spans="2:15">
      <c r="B16" s="174"/>
      <c r="C16" s="175"/>
      <c r="D16" s="176"/>
      <c r="E16" s="177"/>
      <c r="F16" s="187">
        <v>5</v>
      </c>
      <c r="G16" s="196"/>
      <c r="H16" s="196"/>
      <c r="I16" s="190"/>
      <c r="J16" s="190"/>
      <c r="K16" s="191"/>
      <c r="L16" s="194"/>
      <c r="M16" s="193"/>
      <c r="N16" s="194"/>
      <c r="O16" s="195"/>
    </row>
    <row r="17" spans="2:15">
      <c r="B17" s="174"/>
      <c r="C17" s="175"/>
      <c r="D17" s="176"/>
      <c r="E17" s="197" t="s">
        <v>64</v>
      </c>
      <c r="F17" s="198"/>
      <c r="G17" s="199"/>
      <c r="H17" s="200"/>
      <c r="I17" s="201"/>
      <c r="J17" s="201"/>
      <c r="K17" s="202"/>
      <c r="L17" s="203">
        <f>K17*I17</f>
        <v>0</v>
      </c>
      <c r="M17" s="202"/>
      <c r="N17" s="204"/>
      <c r="O17" s="205"/>
    </row>
    <row r="18" spans="2:15">
      <c r="B18" s="174"/>
      <c r="C18" s="175"/>
      <c r="D18" s="176"/>
      <c r="E18" s="177" t="s">
        <v>46</v>
      </c>
      <c r="F18" s="187" t="s">
        <v>63</v>
      </c>
      <c r="G18" s="197"/>
      <c r="H18" s="197"/>
      <c r="I18" s="190"/>
      <c r="J18" s="206"/>
      <c r="K18" s="193"/>
      <c r="L18" s="192"/>
      <c r="M18" s="193"/>
      <c r="N18" s="194"/>
      <c r="O18" s="195"/>
    </row>
    <row r="19" spans="2:15">
      <c r="B19" s="174"/>
      <c r="C19" s="175"/>
      <c r="D19" s="176"/>
      <c r="E19" s="177"/>
      <c r="F19" s="187">
        <v>2</v>
      </c>
      <c r="G19" s="188"/>
      <c r="H19" s="189"/>
      <c r="I19" s="190"/>
      <c r="J19" s="190"/>
      <c r="K19" s="191"/>
      <c r="L19" s="192"/>
      <c r="M19" s="193"/>
      <c r="N19" s="194"/>
      <c r="O19" s="195"/>
    </row>
    <row r="20" spans="2:15">
      <c r="B20" s="174"/>
      <c r="C20" s="175"/>
      <c r="D20" s="176"/>
      <c r="E20" s="177"/>
      <c r="F20" s="187">
        <v>3</v>
      </c>
      <c r="G20" s="196"/>
      <c r="H20" s="196"/>
      <c r="I20" s="190"/>
      <c r="J20" s="190"/>
      <c r="K20" s="191"/>
      <c r="L20" s="194"/>
      <c r="M20" s="193"/>
      <c r="N20" s="194"/>
      <c r="O20" s="195"/>
    </row>
    <row r="21" spans="2:15">
      <c r="B21" s="174"/>
      <c r="C21" s="175"/>
      <c r="D21" s="176"/>
      <c r="E21" s="177"/>
      <c r="F21" s="187">
        <v>4</v>
      </c>
      <c r="G21" s="196"/>
      <c r="H21" s="196"/>
      <c r="I21" s="190"/>
      <c r="J21" s="190"/>
      <c r="K21" s="191"/>
      <c r="L21" s="194"/>
      <c r="M21" s="193"/>
      <c r="N21" s="194"/>
      <c r="O21" s="195"/>
    </row>
    <row r="22" spans="2:15">
      <c r="B22" s="174"/>
      <c r="C22" s="175"/>
      <c r="D22" s="176"/>
      <c r="E22" s="177"/>
      <c r="F22" s="187">
        <v>5</v>
      </c>
      <c r="G22" s="196"/>
      <c r="H22" s="196"/>
      <c r="I22" s="190"/>
      <c r="J22" s="190"/>
      <c r="K22" s="191"/>
      <c r="L22" s="194"/>
      <c r="M22" s="193"/>
      <c r="N22" s="194"/>
      <c r="O22" s="195"/>
    </row>
    <row r="23" spans="2:15">
      <c r="B23" s="174"/>
      <c r="C23" s="175"/>
      <c r="D23" s="176"/>
      <c r="E23" s="197" t="s">
        <v>64</v>
      </c>
      <c r="F23" s="198"/>
      <c r="G23" s="199"/>
      <c r="H23" s="200"/>
      <c r="I23" s="201"/>
      <c r="J23" s="201"/>
      <c r="K23" s="202"/>
      <c r="L23" s="203">
        <f>K23*I23</f>
        <v>0</v>
      </c>
      <c r="M23" s="202"/>
      <c r="N23" s="204"/>
      <c r="O23" s="205"/>
    </row>
    <row r="24" spans="2:15">
      <c r="B24" s="174"/>
      <c r="C24" s="175"/>
      <c r="D24" s="176"/>
      <c r="E24" s="177" t="s">
        <v>65</v>
      </c>
      <c r="F24" s="187" t="s">
        <v>63</v>
      </c>
      <c r="G24" s="197" t="s">
        <v>69</v>
      </c>
      <c r="H24" s="197"/>
      <c r="I24" s="190">
        <v>1</v>
      </c>
      <c r="J24" s="206">
        <v>1</v>
      </c>
      <c r="K24" s="252" t="s">
        <v>44</v>
      </c>
      <c r="L24" s="192">
        <v>20000000</v>
      </c>
      <c r="M24" s="252" t="s">
        <v>44</v>
      </c>
      <c r="N24" s="194">
        <f>L24</f>
        <v>20000000</v>
      </c>
      <c r="O24" s="195" t="s">
        <v>70</v>
      </c>
    </row>
    <row r="25" spans="2:15">
      <c r="B25" s="174"/>
      <c r="C25" s="175"/>
      <c r="D25" s="176"/>
      <c r="E25" s="177"/>
      <c r="F25" s="187">
        <v>2</v>
      </c>
      <c r="G25" s="188" t="s">
        <v>71</v>
      </c>
      <c r="H25" s="189"/>
      <c r="I25" s="190">
        <v>1</v>
      </c>
      <c r="J25" s="190">
        <v>1</v>
      </c>
      <c r="K25" s="252" t="s">
        <v>44</v>
      </c>
      <c r="L25" s="192">
        <v>15000000</v>
      </c>
      <c r="M25" s="252" t="s">
        <v>44</v>
      </c>
      <c r="N25" s="194">
        <f>L25</f>
        <v>15000000</v>
      </c>
      <c r="O25" s="195" t="s">
        <v>72</v>
      </c>
    </row>
    <row r="26" spans="2:15">
      <c r="B26" s="174"/>
      <c r="C26" s="175"/>
      <c r="D26" s="176"/>
      <c r="E26" s="177"/>
      <c r="F26" s="187">
        <v>3</v>
      </c>
      <c r="G26" s="196"/>
      <c r="H26" s="196"/>
      <c r="I26" s="190"/>
      <c r="J26" s="190"/>
      <c r="K26" s="191"/>
      <c r="L26" s="194"/>
      <c r="M26" s="193"/>
      <c r="N26" s="194"/>
      <c r="O26" s="195"/>
    </row>
    <row r="27" spans="2:15">
      <c r="B27" s="174"/>
      <c r="C27" s="175"/>
      <c r="D27" s="176"/>
      <c r="E27" s="177"/>
      <c r="F27" s="187">
        <v>4</v>
      </c>
      <c r="G27" s="196"/>
      <c r="H27" s="196"/>
      <c r="I27" s="190"/>
      <c r="J27" s="190"/>
      <c r="K27" s="191"/>
      <c r="L27" s="194"/>
      <c r="M27" s="193"/>
      <c r="N27" s="194"/>
      <c r="O27" s="195"/>
    </row>
    <row r="28" spans="2:15">
      <c r="B28" s="174"/>
      <c r="C28" s="175"/>
      <c r="D28" s="176"/>
      <c r="E28" s="177"/>
      <c r="F28" s="187">
        <v>5</v>
      </c>
      <c r="G28" s="196"/>
      <c r="H28" s="196"/>
      <c r="I28" s="190"/>
      <c r="J28" s="190"/>
      <c r="K28" s="191"/>
      <c r="L28" s="194"/>
      <c r="M28" s="193"/>
      <c r="N28" s="194"/>
      <c r="O28" s="195"/>
    </row>
    <row r="29" spans="2:15">
      <c r="B29" s="174"/>
      <c r="C29" s="175"/>
      <c r="D29" s="176"/>
      <c r="E29" s="197" t="s">
        <v>64</v>
      </c>
      <c r="F29" s="198"/>
      <c r="G29" s="199"/>
      <c r="H29" s="200"/>
      <c r="I29" s="201">
        <f>SUM(H24:I25)</f>
        <v>2</v>
      </c>
      <c r="J29" s="201">
        <f>SUM(I24:I25)</f>
        <v>2</v>
      </c>
      <c r="K29" s="254" t="s">
        <v>44</v>
      </c>
      <c r="L29" s="253">
        <f>SUM(K24:L25)</f>
        <v>35000000</v>
      </c>
      <c r="M29" s="254" t="s">
        <v>44</v>
      </c>
      <c r="N29" s="253">
        <f>SUM(M24:N25)</f>
        <v>35000000</v>
      </c>
      <c r="O29" s="205"/>
    </row>
    <row r="30" spans="2:15">
      <c r="B30" s="174"/>
      <c r="C30" s="175"/>
      <c r="D30" s="176"/>
      <c r="E30" s="177" t="s">
        <v>66</v>
      </c>
      <c r="F30" s="187" t="s">
        <v>63</v>
      </c>
      <c r="G30" s="197"/>
      <c r="H30" s="197"/>
      <c r="I30" s="190"/>
      <c r="J30" s="206"/>
      <c r="K30" s="193"/>
      <c r="L30" s="192"/>
      <c r="M30" s="193"/>
      <c r="N30" s="194"/>
      <c r="O30" s="195"/>
    </row>
    <row r="31" spans="2:15">
      <c r="B31" s="174"/>
      <c r="C31" s="175"/>
      <c r="D31" s="176"/>
      <c r="E31" s="177"/>
      <c r="F31" s="187">
        <v>2</v>
      </c>
      <c r="G31" s="188"/>
      <c r="H31" s="189"/>
      <c r="I31" s="190"/>
      <c r="J31" s="190"/>
      <c r="K31" s="191"/>
      <c r="L31" s="192"/>
      <c r="M31" s="193"/>
      <c r="N31" s="194"/>
      <c r="O31" s="195"/>
    </row>
    <row r="32" spans="2:15">
      <c r="B32" s="174"/>
      <c r="C32" s="175"/>
      <c r="D32" s="176"/>
      <c r="E32" s="177"/>
      <c r="F32" s="187">
        <v>3</v>
      </c>
      <c r="G32" s="196"/>
      <c r="H32" s="196"/>
      <c r="I32" s="190"/>
      <c r="J32" s="190"/>
      <c r="K32" s="191"/>
      <c r="L32" s="194"/>
      <c r="M32" s="193"/>
      <c r="N32" s="194"/>
      <c r="O32" s="195"/>
    </row>
    <row r="33" spans="2:15">
      <c r="B33" s="174"/>
      <c r="C33" s="175"/>
      <c r="D33" s="176"/>
      <c r="E33" s="177"/>
      <c r="F33" s="187">
        <v>4</v>
      </c>
      <c r="G33" s="196"/>
      <c r="H33" s="196"/>
      <c r="I33" s="190"/>
      <c r="J33" s="190"/>
      <c r="K33" s="191"/>
      <c r="L33" s="194"/>
      <c r="M33" s="193"/>
      <c r="N33" s="194"/>
      <c r="O33" s="195"/>
    </row>
    <row r="34" spans="2:15">
      <c r="B34" s="174"/>
      <c r="C34" s="175"/>
      <c r="D34" s="176"/>
      <c r="E34" s="177"/>
      <c r="F34" s="207">
        <v>5</v>
      </c>
      <c r="G34" s="208"/>
      <c r="H34" s="208"/>
      <c r="I34" s="209"/>
      <c r="J34" s="209"/>
      <c r="K34" s="210"/>
      <c r="L34" s="211"/>
      <c r="M34" s="212"/>
      <c r="N34" s="211"/>
      <c r="O34" s="213"/>
    </row>
    <row r="35" spans="2:15">
      <c r="B35" s="174"/>
      <c r="C35" s="175"/>
      <c r="D35" s="176"/>
      <c r="E35" s="197" t="s">
        <v>64</v>
      </c>
      <c r="F35" s="198"/>
      <c r="G35" s="199"/>
      <c r="H35" s="200"/>
      <c r="I35" s="201">
        <v>2</v>
      </c>
      <c r="J35" s="201">
        <v>2</v>
      </c>
      <c r="K35" s="254" t="s">
        <v>44</v>
      </c>
      <c r="L35" s="203">
        <f>L29</f>
        <v>35000000</v>
      </c>
      <c r="M35" s="254" t="s">
        <v>44</v>
      </c>
      <c r="N35" s="204">
        <f>N29</f>
        <v>35000000</v>
      </c>
      <c r="O35" s="205"/>
    </row>
    <row r="36" spans="2:15">
      <c r="B36" s="174"/>
      <c r="C36" s="214" t="s">
        <v>67</v>
      </c>
      <c r="D36" s="215"/>
      <c r="E36" s="214"/>
      <c r="F36" s="216"/>
      <c r="G36" s="217"/>
      <c r="H36" s="214"/>
      <c r="I36" s="218"/>
      <c r="J36" s="218"/>
      <c r="K36" s="219"/>
      <c r="L36" s="220"/>
      <c r="M36" s="219"/>
      <c r="N36" s="221"/>
      <c r="O36" s="222"/>
    </row>
    <row r="37" spans="2:15" s="234" customFormat="1">
      <c r="B37" s="223" t="s">
        <v>68</v>
      </c>
      <c r="C37" s="224"/>
      <c r="D37" s="225"/>
      <c r="E37" s="226"/>
      <c r="F37" s="227"/>
      <c r="G37" s="226"/>
      <c r="H37" s="226"/>
      <c r="I37" s="228"/>
      <c r="J37" s="228"/>
      <c r="K37" s="229"/>
      <c r="L37" s="230"/>
      <c r="M37" s="231"/>
      <c r="N37" s="232"/>
      <c r="O37" s="233"/>
    </row>
  </sheetData>
  <mergeCells count="1"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 HO</vt:lpstr>
      <vt:lpstr>NEW CAPEX 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Mulyono</dc:creator>
  <cp:lastModifiedBy>User</cp:lastModifiedBy>
  <dcterms:created xsi:type="dcterms:W3CDTF">2022-09-22T05:01:13Z</dcterms:created>
  <dcterms:modified xsi:type="dcterms:W3CDTF">2022-09-23T05:16:04Z</dcterms:modified>
</cp:coreProperties>
</file>